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giraud\Desktop\"/>
    </mc:Choice>
  </mc:AlternateContent>
  <bookViews>
    <workbookView xWindow="480" yWindow="96" windowWidth="22116" windowHeight="8292"/>
  </bookViews>
  <sheets>
    <sheet name="NDF_VIERGE" sheetId="23" r:id="rId1"/>
    <sheet name="REF ANALYTIQUE" sheetId="4" state="hidden" r:id="rId2"/>
  </sheets>
  <externalReferences>
    <externalReference r:id="rId3"/>
  </externalReferences>
  <definedNames>
    <definedName name="_xlnm._FilterDatabase" localSheetId="1" hidden="1">'REF ANALYTIQUE'!$H$4:$I$224</definedName>
    <definedName name="LISTEEMPLOYE">'[1]LISTE VALIDATION'!$A$3:$A$163</definedName>
    <definedName name="_xlnm.Print_Area" localSheetId="0">NDF_VIERGE!$A$1:$AA$70</definedName>
    <definedName name="_xlnm.Print_Area">#REF!</definedName>
  </definedNames>
  <calcPr calcId="152511"/>
</workbook>
</file>

<file path=xl/calcChain.xml><?xml version="1.0" encoding="utf-8"?>
<calcChain xmlns="http://schemas.openxmlformats.org/spreadsheetml/2006/main">
  <c r="S23" i="23" l="1"/>
  <c r="W23" i="23"/>
  <c r="G22" i="23" l="1"/>
  <c r="S22" i="23"/>
  <c r="K22" i="23"/>
  <c r="G18" i="23" l="1"/>
  <c r="W18" i="23"/>
  <c r="S18" i="23"/>
  <c r="O18" i="23"/>
  <c r="K18" i="23"/>
  <c r="W19" i="23"/>
  <c r="W22" i="23"/>
  <c r="S19" i="23"/>
  <c r="O19" i="23"/>
  <c r="O22" i="23"/>
  <c r="K19" i="23"/>
  <c r="G19" i="23"/>
  <c r="G25" i="23"/>
  <c r="G29" i="23"/>
  <c r="W38" i="23"/>
  <c r="G23" i="23" l="1"/>
  <c r="V42" i="23"/>
  <c r="R42" i="23"/>
  <c r="N42" i="23"/>
  <c r="J42" i="23"/>
  <c r="F42" i="23"/>
  <c r="W41" i="23" l="1"/>
  <c r="W40" i="23"/>
  <c r="X40" i="23" s="1"/>
  <c r="Y40" i="23" s="1"/>
  <c r="W39" i="23"/>
  <c r="X39" i="23" s="1"/>
  <c r="Y39" i="23" s="1"/>
  <c r="W37" i="23"/>
  <c r="X37" i="23" s="1"/>
  <c r="Y37" i="23" s="1"/>
  <c r="W36" i="23"/>
  <c r="W34" i="23"/>
  <c r="X34" i="23" s="1"/>
  <c r="Y34" i="23" s="1"/>
  <c r="W33" i="23"/>
  <c r="W32" i="23"/>
  <c r="X32" i="23" s="1"/>
  <c r="Y32" i="23" s="1"/>
  <c r="W31" i="23"/>
  <c r="X31" i="23" s="1"/>
  <c r="Y31" i="23" s="1"/>
  <c r="W30" i="23"/>
  <c r="W29" i="23"/>
  <c r="W28" i="23"/>
  <c r="W27" i="23"/>
  <c r="X27" i="23" s="1"/>
  <c r="Y27" i="23" s="1"/>
  <c r="W26" i="23"/>
  <c r="X26" i="23" s="1"/>
  <c r="Y26" i="23" s="1"/>
  <c r="W25" i="23"/>
  <c r="W24" i="23"/>
  <c r="S36" i="23"/>
  <c r="T36" i="23" s="1"/>
  <c r="U36" i="23" s="1"/>
  <c r="S41" i="23"/>
  <c r="T41" i="23" s="1"/>
  <c r="U41" i="23" s="1"/>
  <c r="S40" i="23"/>
  <c r="T40" i="23" s="1"/>
  <c r="U40" i="23" s="1"/>
  <c r="S39" i="23"/>
  <c r="S38" i="23"/>
  <c r="S37" i="23"/>
  <c r="S34" i="23"/>
  <c r="S33" i="23"/>
  <c r="T33" i="23" s="1"/>
  <c r="U33" i="23" s="1"/>
  <c r="S32" i="23"/>
  <c r="T32" i="23" s="1"/>
  <c r="U32" i="23" s="1"/>
  <c r="S31" i="23"/>
  <c r="T31" i="23" s="1"/>
  <c r="U31" i="23" s="1"/>
  <c r="S30" i="23"/>
  <c r="T30" i="23" s="1"/>
  <c r="U30" i="23" s="1"/>
  <c r="S29" i="23"/>
  <c r="S28" i="23"/>
  <c r="T28" i="23" s="1"/>
  <c r="U28" i="23" s="1"/>
  <c r="S27" i="23"/>
  <c r="T27" i="23" s="1"/>
  <c r="S26" i="23"/>
  <c r="S25" i="23"/>
  <c r="S24" i="23"/>
  <c r="T24" i="23" s="1"/>
  <c r="U24" i="23" s="1"/>
  <c r="O41" i="23"/>
  <c r="O40" i="23"/>
  <c r="O39" i="23"/>
  <c r="O38" i="23"/>
  <c r="P38" i="23" s="1"/>
  <c r="Q38" i="23" s="1"/>
  <c r="O37" i="23"/>
  <c r="P37" i="23" s="1"/>
  <c r="O36" i="23"/>
  <c r="O34" i="23"/>
  <c r="O33" i="23"/>
  <c r="P33" i="23" s="1"/>
  <c r="Q33" i="23" s="1"/>
  <c r="O32" i="23"/>
  <c r="P32" i="23" s="1"/>
  <c r="Q32" i="23" s="1"/>
  <c r="O31" i="23"/>
  <c r="O30" i="23"/>
  <c r="P30" i="23" s="1"/>
  <c r="Q30" i="23" s="1"/>
  <c r="O29" i="23"/>
  <c r="O28" i="23"/>
  <c r="P28" i="23" s="1"/>
  <c r="Q28" i="23" s="1"/>
  <c r="O27" i="23"/>
  <c r="O26" i="23"/>
  <c r="P26" i="23" s="1"/>
  <c r="Q26" i="23" s="1"/>
  <c r="O25" i="23"/>
  <c r="P25" i="23" s="1"/>
  <c r="Q25" i="23" s="1"/>
  <c r="O24" i="23"/>
  <c r="K41" i="23"/>
  <c r="K40" i="23"/>
  <c r="K39" i="23"/>
  <c r="L39" i="23" s="1"/>
  <c r="M39" i="23" s="1"/>
  <c r="K38" i="23"/>
  <c r="K37" i="23"/>
  <c r="L37" i="23" s="1"/>
  <c r="M37" i="23" s="1"/>
  <c r="K36" i="23"/>
  <c r="L36" i="23" s="1"/>
  <c r="M36" i="23" s="1"/>
  <c r="K34" i="23"/>
  <c r="K33" i="23"/>
  <c r="L33" i="23" s="1"/>
  <c r="M33" i="23" s="1"/>
  <c r="K32" i="23"/>
  <c r="K31" i="23"/>
  <c r="K30" i="23"/>
  <c r="K29" i="23"/>
  <c r="L29" i="23" s="1"/>
  <c r="M29" i="23" s="1"/>
  <c r="K28" i="23"/>
  <c r="K27" i="23"/>
  <c r="K26" i="23"/>
  <c r="L26" i="23" s="1"/>
  <c r="M26" i="23" s="1"/>
  <c r="K25" i="23"/>
  <c r="L25" i="23" s="1"/>
  <c r="M25" i="23" s="1"/>
  <c r="K24" i="23"/>
  <c r="L24" i="23" s="1"/>
  <c r="M24" i="23" s="1"/>
  <c r="G41" i="23"/>
  <c r="G40" i="23"/>
  <c r="H40" i="23" s="1"/>
  <c r="I40" i="23" s="1"/>
  <c r="G39" i="23"/>
  <c r="G38" i="23"/>
  <c r="G37" i="23"/>
  <c r="H37" i="23" s="1"/>
  <c r="I37" i="23" s="1"/>
  <c r="G36" i="23"/>
  <c r="G34" i="23"/>
  <c r="H34" i="23" s="1"/>
  <c r="I34" i="23" s="1"/>
  <c r="G33" i="23"/>
  <c r="G32" i="23"/>
  <c r="H32" i="23" s="1"/>
  <c r="I32" i="23" s="1"/>
  <c r="G31" i="23"/>
  <c r="H31" i="23" s="1"/>
  <c r="I31" i="23" s="1"/>
  <c r="G30" i="23"/>
  <c r="G28" i="23"/>
  <c r="G27" i="23"/>
  <c r="H27" i="23" s="1"/>
  <c r="I27" i="23" s="1"/>
  <c r="G26" i="23"/>
  <c r="G24" i="23"/>
  <c r="Z41" i="23"/>
  <c r="P41" i="23"/>
  <c r="Q41" i="23" s="1"/>
  <c r="Z40" i="23"/>
  <c r="Z39" i="23"/>
  <c r="Z38" i="23"/>
  <c r="L38" i="23"/>
  <c r="M38" i="23" s="1"/>
  <c r="Z37" i="23"/>
  <c r="Z36" i="23"/>
  <c r="X36" i="23"/>
  <c r="Y36" i="23" s="1"/>
  <c r="Z34" i="23"/>
  <c r="L34" i="23"/>
  <c r="M34" i="23" s="1"/>
  <c r="Z33" i="23"/>
  <c r="X33" i="23"/>
  <c r="Z32" i="23"/>
  <c r="Z31" i="23"/>
  <c r="Z30" i="23"/>
  <c r="H30" i="23"/>
  <c r="Z29" i="23"/>
  <c r="Z28" i="23"/>
  <c r="Z27" i="23"/>
  <c r="Z26" i="23"/>
  <c r="Z25" i="23"/>
  <c r="Z24" i="23"/>
  <c r="P24" i="23"/>
  <c r="Z23" i="23"/>
  <c r="O23" i="23"/>
  <c r="K23" i="23"/>
  <c r="X22" i="23"/>
  <c r="U22" i="23"/>
  <c r="P22" i="23"/>
  <c r="L22" i="23"/>
  <c r="M22" i="23"/>
  <c r="H22" i="23"/>
  <c r="X21" i="23"/>
  <c r="Y21" i="23" s="1"/>
  <c r="T21" i="23"/>
  <c r="U21" i="23" s="1"/>
  <c r="P21" i="23"/>
  <c r="Q21" i="23" s="1"/>
  <c r="L21" i="23"/>
  <c r="M21" i="23" s="1"/>
  <c r="H21" i="23"/>
  <c r="I21" i="23" s="1"/>
  <c r="X20" i="23"/>
  <c r="Y20" i="23" s="1"/>
  <c r="T20" i="23"/>
  <c r="U20" i="23" s="1"/>
  <c r="P20" i="23"/>
  <c r="Q20" i="23" s="1"/>
  <c r="L20" i="23"/>
  <c r="M20" i="23" s="1"/>
  <c r="H20" i="23"/>
  <c r="I20" i="23" s="1"/>
  <c r="X19" i="23"/>
  <c r="Y19" i="23" s="1"/>
  <c r="T19" i="23"/>
  <c r="U19" i="23" s="1"/>
  <c r="P19" i="23"/>
  <c r="Q19" i="23" s="1"/>
  <c r="L19" i="23"/>
  <c r="M19" i="23" s="1"/>
  <c r="H19" i="23"/>
  <c r="I19" i="23" s="1"/>
  <c r="X18" i="23"/>
  <c r="Y18" i="23" s="1"/>
  <c r="T18" i="23"/>
  <c r="U18" i="23" s="1"/>
  <c r="P18" i="23"/>
  <c r="Q18" i="23" s="1"/>
  <c r="L18" i="23"/>
  <c r="M18" i="23" s="1"/>
  <c r="H18" i="23"/>
  <c r="I18" i="23" s="1"/>
  <c r="W16" i="23"/>
  <c r="S16" i="23"/>
  <c r="O16" i="23"/>
  <c r="K16" i="23"/>
  <c r="G16" i="23"/>
  <c r="V12" i="23"/>
  <c r="T12" i="23"/>
  <c r="V9" i="23"/>
  <c r="T9" i="23"/>
  <c r="AA23" i="23" l="1"/>
  <c r="AB23" i="23" s="1"/>
  <c r="Y22" i="23"/>
  <c r="Y33" i="23"/>
  <c r="AA39" i="23"/>
  <c r="AB39" i="23" s="1"/>
  <c r="AA28" i="23"/>
  <c r="Q16" i="23"/>
  <c r="P16" i="23"/>
  <c r="L23" i="23"/>
  <c r="M23" i="23" s="1"/>
  <c r="K42" i="23"/>
  <c r="U16" i="23"/>
  <c r="T16" i="23"/>
  <c r="Y16" i="23"/>
  <c r="X16" i="23"/>
  <c r="M16" i="23"/>
  <c r="L16" i="23"/>
  <c r="S42" i="23"/>
  <c r="I22" i="23"/>
  <c r="W42" i="23"/>
  <c r="AA27" i="23"/>
  <c r="AB27" i="23" s="1"/>
  <c r="AC27" i="23" s="1"/>
  <c r="X23" i="23"/>
  <c r="AA36" i="23"/>
  <c r="O42" i="23"/>
  <c r="H24" i="23"/>
  <c r="I24" i="23" s="1"/>
  <c r="G42" i="23"/>
  <c r="T37" i="23"/>
  <c r="U37" i="23" s="1"/>
  <c r="H16" i="23"/>
  <c r="I16" i="23"/>
  <c r="X30" i="23"/>
  <c r="Y30" i="23" s="1"/>
  <c r="AA24" i="23"/>
  <c r="AB24" i="23" s="1"/>
  <c r="AC24" i="23" s="1"/>
  <c r="T29" i="23"/>
  <c r="U29" i="23" s="1"/>
  <c r="U27" i="23"/>
  <c r="AA33" i="23"/>
  <c r="AB33" i="23" s="1"/>
  <c r="AC33" i="23" s="1"/>
  <c r="AA38" i="23"/>
  <c r="AB38" i="23" s="1"/>
  <c r="AC38" i="23" s="1"/>
  <c r="L30" i="23"/>
  <c r="M30" i="23" s="1"/>
  <c r="AA29" i="23"/>
  <c r="AB29" i="23" s="1"/>
  <c r="AC29" i="23" s="1"/>
  <c r="AA37" i="23"/>
  <c r="AB37" i="23" s="1"/>
  <c r="AC37" i="23" s="1"/>
  <c r="P39" i="23"/>
  <c r="Q39" i="23" s="1"/>
  <c r="Q22" i="23"/>
  <c r="P29" i="23"/>
  <c r="Q29" i="23" s="1"/>
  <c r="AA41" i="23"/>
  <c r="AB41" i="23" s="1"/>
  <c r="AC41" i="23" s="1"/>
  <c r="Q24" i="23"/>
  <c r="AA31" i="23"/>
  <c r="AB31" i="23" s="1"/>
  <c r="AC31" i="23" s="1"/>
  <c r="Q37" i="23"/>
  <c r="P27" i="23"/>
  <c r="Q27" i="23" s="1"/>
  <c r="AA26" i="23"/>
  <c r="AB26" i="23" s="1"/>
  <c r="AA30" i="23"/>
  <c r="AB30" i="23" s="1"/>
  <c r="AC30" i="23" s="1"/>
  <c r="P40" i="23"/>
  <c r="Q40" i="23" s="1"/>
  <c r="Z42" i="23"/>
  <c r="Z45" i="23" s="1"/>
  <c r="H36" i="23"/>
  <c r="I36" i="23" s="1"/>
  <c r="AA40" i="23"/>
  <c r="AB40" i="23" s="1"/>
  <c r="AC40" i="23" s="1"/>
  <c r="H23" i="23"/>
  <c r="H33" i="23"/>
  <c r="I33" i="23" s="1"/>
  <c r="AB28" i="23"/>
  <c r="AC28" i="23" s="1"/>
  <c r="AB36" i="23"/>
  <c r="AC36" i="23" s="1"/>
  <c r="T22" i="23"/>
  <c r="P23" i="23"/>
  <c r="T26" i="23"/>
  <c r="U26" i="23" s="1"/>
  <c r="H29" i="23"/>
  <c r="I29" i="23" s="1"/>
  <c r="X29" i="23"/>
  <c r="Y29" i="23" s="1"/>
  <c r="L32" i="23"/>
  <c r="M32" i="23" s="1"/>
  <c r="AA32" i="23"/>
  <c r="P36" i="23"/>
  <c r="Q36" i="23" s="1"/>
  <c r="T39" i="23"/>
  <c r="U39" i="23" s="1"/>
  <c r="AA25" i="23"/>
  <c r="X24" i="23"/>
  <c r="L27" i="23"/>
  <c r="M27" i="23" s="1"/>
  <c r="L40" i="23"/>
  <c r="M40" i="23" s="1"/>
  <c r="AA34" i="23"/>
  <c r="T23" i="23"/>
  <c r="H26" i="23"/>
  <c r="I26" i="23" s="1"/>
  <c r="H39" i="23"/>
  <c r="I39" i="23" s="1"/>
  <c r="T25" i="23"/>
  <c r="U25" i="23" s="1"/>
  <c r="H28" i="23"/>
  <c r="I28" i="23" s="1"/>
  <c r="X28" i="23"/>
  <c r="Y28" i="23" s="1"/>
  <c r="L31" i="23"/>
  <c r="M31" i="23" s="1"/>
  <c r="P34" i="23"/>
  <c r="Q34" i="23" s="1"/>
  <c r="T38" i="23"/>
  <c r="U38" i="23" s="1"/>
  <c r="H41" i="23"/>
  <c r="I41" i="23" s="1"/>
  <c r="X41" i="23"/>
  <c r="Y41" i="23" s="1"/>
  <c r="H25" i="23"/>
  <c r="I25" i="23" s="1"/>
  <c r="X25" i="23"/>
  <c r="Y25" i="23" s="1"/>
  <c r="L28" i="23"/>
  <c r="M28" i="23" s="1"/>
  <c r="I30" i="23"/>
  <c r="P31" i="23"/>
  <c r="Q31" i="23" s="1"/>
  <c r="T34" i="23"/>
  <c r="U34" i="23" s="1"/>
  <c r="H38" i="23"/>
  <c r="I38" i="23" s="1"/>
  <c r="X38" i="23"/>
  <c r="Y38" i="23" s="1"/>
  <c r="L41" i="23"/>
  <c r="M41" i="23" s="1"/>
  <c r="P42" i="23" l="1"/>
  <c r="Y23" i="23"/>
  <c r="X42" i="23"/>
  <c r="L42" i="23"/>
  <c r="AA42" i="23"/>
  <c r="AA45" i="23" s="1"/>
  <c r="T42" i="23"/>
  <c r="M42" i="23"/>
  <c r="I23" i="23"/>
  <c r="I42" i="23" s="1"/>
  <c r="H42" i="23"/>
  <c r="AC26" i="23"/>
  <c r="AC39" i="23"/>
  <c r="AB34" i="23"/>
  <c r="AC34" i="23" s="1"/>
  <c r="Y24" i="23"/>
  <c r="AB25" i="23"/>
  <c r="AC25" i="23" s="1"/>
  <c r="U23" i="23"/>
  <c r="U42" i="23" s="1"/>
  <c r="Q23" i="23"/>
  <c r="Q42" i="23" s="1"/>
  <c r="AB32" i="23"/>
  <c r="AC32" i="23" s="1"/>
  <c r="AC23" i="23"/>
  <c r="Y42" i="23" l="1"/>
  <c r="AC42" i="23"/>
  <c r="AB42" i="23"/>
</calcChain>
</file>

<file path=xl/sharedStrings.xml><?xml version="1.0" encoding="utf-8"?>
<sst xmlns="http://schemas.openxmlformats.org/spreadsheetml/2006/main" count="2088" uniqueCount="1497">
  <si>
    <t>REMB. KM</t>
  </si>
  <si>
    <t>HOTEL</t>
  </si>
  <si>
    <t>DÉJEUNER</t>
  </si>
  <si>
    <t>DINER</t>
  </si>
  <si>
    <t>PEAGE</t>
  </si>
  <si>
    <t>PARKING</t>
  </si>
  <si>
    <t>CARBURANT</t>
  </si>
  <si>
    <t>NOTE DE FRAIS</t>
  </si>
  <si>
    <t>TTC</t>
  </si>
  <si>
    <t>Observations collaborateur</t>
  </si>
  <si>
    <t>Nature</t>
  </si>
  <si>
    <t>625AVIO</t>
  </si>
  <si>
    <t>625CAGA</t>
  </si>
  <si>
    <t>625CLOC</t>
  </si>
  <si>
    <t>625DIVE</t>
  </si>
  <si>
    <t>625FREM</t>
  </si>
  <si>
    <t>625HOTT</t>
  </si>
  <si>
    <t>Hotel Hors réservation Directe RH - Séjour en BB</t>
  </si>
  <si>
    <t>625HPFR</t>
  </si>
  <si>
    <t>625JOET</t>
  </si>
  <si>
    <t>625KMNB</t>
  </si>
  <si>
    <t>625PEAT</t>
  </si>
  <si>
    <t>Péage</t>
  </si>
  <si>
    <t>625REPT</t>
  </si>
  <si>
    <t>Repas - Courses ou Restaurant</t>
  </si>
  <si>
    <t>625SALL</t>
  </si>
  <si>
    <t>625SNCF</t>
  </si>
  <si>
    <t>625SNFO</t>
  </si>
  <si>
    <t>625SOET</t>
  </si>
  <si>
    <t>625STAT</t>
  </si>
  <si>
    <t>Stationnement</t>
  </si>
  <si>
    <t>625TRAN</t>
  </si>
  <si>
    <t>NDF: Référentiel analytique</t>
  </si>
  <si>
    <t>NPU</t>
  </si>
  <si>
    <t>Nature à ne plus utiliser</t>
  </si>
  <si>
    <t>DIVERS</t>
  </si>
  <si>
    <t>Dépenses diverses sur justificatif</t>
  </si>
  <si>
    <t>Natures sous la responsabilité d’un autre responsable transverse, à valider en cas de charge récurrente ou significative</t>
  </si>
  <si>
    <t>Code</t>
  </si>
  <si>
    <t>Ligne CEX</t>
  </si>
  <si>
    <t>Libellé Nature</t>
  </si>
  <si>
    <t>Responsable</t>
  </si>
  <si>
    <t>Règles d’affectation</t>
  </si>
  <si>
    <t>F04</t>
  </si>
  <si>
    <t>FRAIS DE DEPLACEMENT</t>
  </si>
  <si>
    <t>6255000</t>
  </si>
  <si>
    <t>FRAIS DEMENAGEMENT</t>
  </si>
  <si>
    <t>CLLAC</t>
  </si>
  <si>
    <t>Dépenses liées au déménagement d’un salarié pris en charge par l’entreprise</t>
  </si>
  <si>
    <t>6256020</t>
  </si>
  <si>
    <t>FRAIS DE MISSION NON BUDGETE</t>
  </si>
  <si>
    <t>6256030</t>
  </si>
  <si>
    <t>FM NON BUDGETES SS TVA</t>
  </si>
  <si>
    <t>6257000</t>
  </si>
  <si>
    <t>FRAIS DE RECEPTION</t>
  </si>
  <si>
    <t>Achat liés à des frais de salons/séminaires (décoration, café, .)</t>
  </si>
  <si>
    <t>BILLETS D AVIONS</t>
  </si>
  <si>
    <t>Achat de billets d’avion et les suppléments aéroportuaires (ex. frais de bagages)</t>
  </si>
  <si>
    <t>Frais de carburant et de recharge électrique (code dossier : RECHARGE_VE)</t>
  </si>
  <si>
    <t>LOC VEHICULE HORS FLOTTE</t>
  </si>
  <si>
    <t>Location véhicule pour déplacement | ex: Avis, Hertz, Europcar..</t>
  </si>
  <si>
    <t>FRAIS EMISSION</t>
  </si>
  <si>
    <t>Utilisé uniquement pour la répartition des factures carburant et péage</t>
  </si>
  <si>
    <t>HOTEL SUR TICKET</t>
  </si>
  <si>
    <t>Refacturation Usage VDS</t>
  </si>
  <si>
    <t>JOURNEE ETUDE</t>
  </si>
  <si>
    <t>Sessions de recrutement</t>
  </si>
  <si>
    <t>KMS NON BUDGETES</t>
  </si>
  <si>
    <t>Remboursements de frais kilométriques</t>
  </si>
  <si>
    <t>PEAGE SUR TICKET</t>
  </si>
  <si>
    <t>REPAS SUR TICKET</t>
  </si>
  <si>
    <t>LOCATION DE SALLES</t>
  </si>
  <si>
    <t xml:space="preserve">Loc de salles de réunion à l’extérieur </t>
  </si>
  <si>
    <t>TRAJETS SNCF</t>
  </si>
  <si>
    <t>Billets de train</t>
  </si>
  <si>
    <t>FORFAIT KM BASE TARIF SNCF</t>
  </si>
  <si>
    <t>SOIREE ETAPE</t>
  </si>
  <si>
    <t>Hôtels avec repas inclus. Sinon, utiliser la nature 625HOTT</t>
  </si>
  <si>
    <t>STATIONNEMENT SUR TICKET</t>
  </si>
  <si>
    <t>TRS EN COMMUN SUR TICKET</t>
  </si>
  <si>
    <t>Taxis et transports urbains</t>
  </si>
  <si>
    <t>DIVERS SUR JUSTIFICATIF</t>
  </si>
  <si>
    <t>Dépenses diverses sur justificatif ne correspondant à aucune autre nature</t>
  </si>
  <si>
    <t>F08</t>
  </si>
  <si>
    <t>TELEPHONIE</t>
  </si>
  <si>
    <t>6260190</t>
  </si>
  <si>
    <t>AUTRES FRAIS TELEPHONIQUES</t>
  </si>
  <si>
    <t>EMTHI-MAPIE</t>
  </si>
  <si>
    <t>Factures téléphoniques ou internet | ex: Data / roaming à l’étranger</t>
  </si>
  <si>
    <t>6260290</t>
  </si>
  <si>
    <t>AFFRANCHISSEMENT COLIS</t>
  </si>
  <si>
    <t>Frais postaux et affranchissements</t>
  </si>
  <si>
    <t>F09</t>
  </si>
  <si>
    <t>PROMOTION COMMUNICATION</t>
  </si>
  <si>
    <t>6234020</t>
  </si>
  <si>
    <t>CADEAUX A CLIENTELE / GOODIES</t>
  </si>
  <si>
    <t>ERBOU</t>
  </si>
  <si>
    <t>Cadeaux offerts aux clients ou goodies promotionnels</t>
  </si>
  <si>
    <t>F10</t>
  </si>
  <si>
    <t>CONSOMMABLES</t>
  </si>
  <si>
    <t>6063100</t>
  </si>
  <si>
    <t>FOURNITURE D'ENTRETIEN</t>
  </si>
  <si>
    <t>Fournitures de nettoyage et entretien</t>
  </si>
  <si>
    <t>6064000</t>
  </si>
  <si>
    <t>FOURNITURES  ADMINISTRATIVES</t>
  </si>
  <si>
    <t>Papeterie, fournitures de bureau classiques</t>
  </si>
  <si>
    <t>6068000</t>
  </si>
  <si>
    <t>AUTRES MAT ET FOURNITURES</t>
  </si>
  <si>
    <t>Autres matériels ou fournitures non classés ailleurs</t>
  </si>
  <si>
    <t>F12</t>
  </si>
  <si>
    <t>OUTILLAGE</t>
  </si>
  <si>
    <t>6063200</t>
  </si>
  <si>
    <t>PETIT EQUIPEMENT</t>
  </si>
  <si>
    <t>Petit matériel de bureau ou équipement informatique léger</t>
  </si>
  <si>
    <t>F16</t>
  </si>
  <si>
    <t>ENTRETIEN ET MAINTENANCE</t>
  </si>
  <si>
    <t>6135817</t>
  </si>
  <si>
    <t>LOCATION MAINTENANCE SOCLE DSI</t>
  </si>
  <si>
    <t>OLCHA</t>
  </si>
  <si>
    <t>Abonnements IA (code dossier : "ABONNEMENT_IA") | sous validation de OLCHA</t>
  </si>
  <si>
    <t>6155000</t>
  </si>
  <si>
    <t>ENTRETIEN BIENS MOBILIERS</t>
  </si>
  <si>
    <t>Entretien des VDS/VDF | ex: Révision véhicule; Vidange; Pneus; Réparations mécaniques; Contrôle technique</t>
  </si>
  <si>
    <t>TAXI /Tr. Commun</t>
  </si>
  <si>
    <t>Colonne</t>
  </si>
  <si>
    <t>Paramétrage</t>
  </si>
  <si>
    <t>Véhicule / Immat. *</t>
  </si>
  <si>
    <t>Cpt TVA</t>
  </si>
  <si>
    <t>TVA
%</t>
  </si>
  <si>
    <t>MOTIF / OBJET *</t>
  </si>
  <si>
    <t>TOTAL HT</t>
  </si>
  <si>
    <t>TOTAL TVA</t>
  </si>
  <si>
    <t>TAXI</t>
  </si>
  <si>
    <t>* Champs obligatoires  |  Saisir les montants TTC — HT et TVA calculés automatiquement  |  Les comptes comptables peuvent être ajustés dans l'onglet Référentiel  |  Taux remb. km : 0,41 €/km</t>
  </si>
  <si>
    <t>SNCF</t>
  </si>
  <si>
    <t>ENTRETIEN VDS</t>
  </si>
  <si>
    <t>REPAS MIDI</t>
  </si>
  <si>
    <t>REPAS SOIR</t>
  </si>
  <si>
    <t>ACHAT FOURNITURE</t>
  </si>
  <si>
    <t>GOODIES</t>
  </si>
  <si>
    <t>Observations RH</t>
  </si>
  <si>
    <t>OBSERVATIONS</t>
  </si>
  <si>
    <t>CODE NDF:</t>
  </si>
  <si>
    <t>CIRCUIT DE VALIDATION</t>
  </si>
  <si>
    <t>CONTRÔLE POLE FRAIS</t>
  </si>
  <si>
    <t>RETOUR AU POLE FRAIS</t>
  </si>
  <si>
    <t>MISE EN PAIEMENT</t>
  </si>
  <si>
    <t>SIGNATURE DU COLLABORATEUR*</t>
  </si>
  <si>
    <t>VALIDATION DU RESPONSABLE*</t>
  </si>
  <si>
    <t>MATRICULE</t>
  </si>
  <si>
    <t>MOIS *</t>
  </si>
  <si>
    <t>HT</t>
  </si>
  <si>
    <t>XC202</t>
  </si>
  <si>
    <t>XC601</t>
  </si>
  <si>
    <t>XC203</t>
  </si>
  <si>
    <t>TVA</t>
  </si>
  <si>
    <t xml:space="preserve">SITE SERVICE </t>
  </si>
  <si>
    <t>LIBELLE AXE2</t>
  </si>
  <si>
    <t>AC002</t>
  </si>
  <si>
    <t>NA On Line</t>
  </si>
  <si>
    <t>AC004</t>
  </si>
  <si>
    <t>XC101</t>
  </si>
  <si>
    <t>SERVICE DV MAG NA INTEGRES</t>
  </si>
  <si>
    <t>AC003</t>
  </si>
  <si>
    <t>NA SVDL</t>
  </si>
  <si>
    <t>AC011</t>
  </si>
  <si>
    <t>NA by Cdiscount</t>
  </si>
  <si>
    <t>AC013</t>
  </si>
  <si>
    <t>NA by Amazon</t>
  </si>
  <si>
    <t>AC016</t>
  </si>
  <si>
    <t>NA by RDC</t>
  </si>
  <si>
    <t>AC015</t>
  </si>
  <si>
    <t>SUNROAD ASSISTANCE CLIENT</t>
  </si>
  <si>
    <t>PPFRA</t>
  </si>
  <si>
    <t>JUST4CAMPER.FR</t>
  </si>
  <si>
    <t>PPALL</t>
  </si>
  <si>
    <t>JUST4CAMPER.DE</t>
  </si>
  <si>
    <t>PPESP</t>
  </si>
  <si>
    <t>JUST4CAMPER.ES</t>
  </si>
  <si>
    <t>AC101</t>
  </si>
  <si>
    <t>MAG PERPIGNAN</t>
  </si>
  <si>
    <t>AC102</t>
  </si>
  <si>
    <t>MAG LE PEYROU</t>
  </si>
  <si>
    <t>AC104</t>
  </si>
  <si>
    <t>MAG RONCQ</t>
  </si>
  <si>
    <t>AC105</t>
  </si>
  <si>
    <t>MAG ARPAJON</t>
  </si>
  <si>
    <t>AC108</t>
  </si>
  <si>
    <t>MAG PONTAULT</t>
  </si>
  <si>
    <t>AC109</t>
  </si>
  <si>
    <t>MAG TOULON</t>
  </si>
  <si>
    <t>AC110</t>
  </si>
  <si>
    <t>MAG PENNES MIRABEAU</t>
  </si>
  <si>
    <t>AC111</t>
  </si>
  <si>
    <t>MAG MERIGNAC</t>
  </si>
  <si>
    <t>AC112</t>
  </si>
  <si>
    <t>MAG BORDEAUX STE EULALIE</t>
  </si>
  <si>
    <t>AC116</t>
  </si>
  <si>
    <t>MAG CAEN</t>
  </si>
  <si>
    <t>AC117</t>
  </si>
  <si>
    <t>MAG BEZIERS</t>
  </si>
  <si>
    <t>AC118</t>
  </si>
  <si>
    <t>MAG AUBAGNE</t>
  </si>
  <si>
    <t>AC11B</t>
  </si>
  <si>
    <t>MAG RENNES</t>
  </si>
  <si>
    <t>AC121</t>
  </si>
  <si>
    <t>MAG DAX</t>
  </si>
  <si>
    <t>AC125</t>
  </si>
  <si>
    <t>MAG MANDELIEU</t>
  </si>
  <si>
    <t>AC126</t>
  </si>
  <si>
    <t>MAG GRENOBLE</t>
  </si>
  <si>
    <t>AC127</t>
  </si>
  <si>
    <t>MAG SORGUES</t>
  </si>
  <si>
    <t>AC130</t>
  </si>
  <si>
    <t>MAG ST ETIENNE</t>
  </si>
  <si>
    <t>AC131</t>
  </si>
  <si>
    <t>MAG COIGNIERES</t>
  </si>
  <si>
    <t>AC132</t>
  </si>
  <si>
    <t>MAG MONTPELLIER</t>
  </si>
  <si>
    <t>AC136</t>
  </si>
  <si>
    <t>MAG LYON</t>
  </si>
  <si>
    <t>AC138</t>
  </si>
  <si>
    <t>MAG ST ALBAN</t>
  </si>
  <si>
    <t>AC143</t>
  </si>
  <si>
    <t>MAG VALENCE</t>
  </si>
  <si>
    <t>AC145</t>
  </si>
  <si>
    <t>MAG QUIMPER</t>
  </si>
  <si>
    <t>AC146</t>
  </si>
  <si>
    <t>MAG LA ROCHELLE</t>
  </si>
  <si>
    <t>AC147</t>
  </si>
  <si>
    <t>MAG SECLIN</t>
  </si>
  <si>
    <t>AC148</t>
  </si>
  <si>
    <t>MAG LONS</t>
  </si>
  <si>
    <t>AC14A</t>
  </si>
  <si>
    <t>MAG AUCH</t>
  </si>
  <si>
    <t>AC14B</t>
  </si>
  <si>
    <t>MAG BEAUVOIS</t>
  </si>
  <si>
    <t>E02</t>
  </si>
  <si>
    <t>MAG SENS</t>
  </si>
  <si>
    <t>E03</t>
  </si>
  <si>
    <t>MAG CASTELNAUDARY</t>
  </si>
  <si>
    <t>E04</t>
  </si>
  <si>
    <t>MAG NANTES</t>
  </si>
  <si>
    <t>E51</t>
  </si>
  <si>
    <t>MAG ANNECY</t>
  </si>
  <si>
    <t>E56</t>
  </si>
  <si>
    <t>MAG PERIGUEUX</t>
  </si>
  <si>
    <t>DG290</t>
  </si>
  <si>
    <t>SRE France</t>
  </si>
  <si>
    <t>AC021</t>
  </si>
  <si>
    <t>SRE PRO FRANCE</t>
  </si>
  <si>
    <t>XC102</t>
  </si>
  <si>
    <t>SERVICE DV FRANCHISES</t>
  </si>
  <si>
    <t>AC080</t>
  </si>
  <si>
    <t>FRANCHISES</t>
  </si>
  <si>
    <t>DP287</t>
  </si>
  <si>
    <t>SRE NETHERLANDS</t>
  </si>
  <si>
    <t>DP294</t>
  </si>
  <si>
    <t>SRE SPAIN/PORTUGAL</t>
  </si>
  <si>
    <t>DP295</t>
  </si>
  <si>
    <t>SRE ITALY</t>
  </si>
  <si>
    <t>DP296</t>
  </si>
  <si>
    <t>SRE SWITZERLAND</t>
  </si>
  <si>
    <t>DP297</t>
  </si>
  <si>
    <t>SRE BELGIUM</t>
  </si>
  <si>
    <t>DP298</t>
  </si>
  <si>
    <t>SRE GREAT BRITAIN</t>
  </si>
  <si>
    <t>DP299</t>
  </si>
  <si>
    <t>SRE GERMANY</t>
  </si>
  <si>
    <t>FA280</t>
  </si>
  <si>
    <t>LANDO CVAN</t>
  </si>
  <si>
    <t>DSOPL</t>
  </si>
  <si>
    <t>SOPLAIR</t>
  </si>
  <si>
    <t>DP291</t>
  </si>
  <si>
    <t>BOIDRON</t>
  </si>
  <si>
    <t>ACVEP</t>
  </si>
  <si>
    <t>VEPLI</t>
  </si>
  <si>
    <t>XC121</t>
  </si>
  <si>
    <t>SERVICE DV BtoB</t>
  </si>
  <si>
    <t>SRE LOGISTICS</t>
  </si>
  <si>
    <t>DIRECTION TECHNIQUE</t>
  </si>
  <si>
    <t>XC201</t>
  </si>
  <si>
    <t>SRE MERCHANDISING</t>
  </si>
  <si>
    <t>XC205</t>
  </si>
  <si>
    <t>SERVICE BPM/OMM/MERCH</t>
  </si>
  <si>
    <t>XC204</t>
  </si>
  <si>
    <t>SRE ACHATS</t>
  </si>
  <si>
    <t>XC206</t>
  </si>
  <si>
    <t>SRE ACHATS/APPROS</t>
  </si>
  <si>
    <t>XC207</t>
  </si>
  <si>
    <t>SRE APPRO CHINE</t>
  </si>
  <si>
    <t>ACVEA</t>
  </si>
  <si>
    <t>GLOBAL ACCESSOIRES</t>
  </si>
  <si>
    <t>CC202</t>
  </si>
  <si>
    <t>CTACRR NARBONNE</t>
  </si>
  <si>
    <t>CC206</t>
  </si>
  <si>
    <t>CTCARR CHATELLERAULT</t>
  </si>
  <si>
    <t>CC210</t>
  </si>
  <si>
    <t>CTCARRR PENNES MIRABEAU</t>
  </si>
  <si>
    <t>CC211</t>
  </si>
  <si>
    <t>CTCARR MERIGNAC</t>
  </si>
  <si>
    <t>CC212</t>
  </si>
  <si>
    <t>CTCARR BORDEAUX NORD</t>
  </si>
  <si>
    <t>CC217</t>
  </si>
  <si>
    <t>CTCARR BEZIERS</t>
  </si>
  <si>
    <t>CC218</t>
  </si>
  <si>
    <t>CTCARR AUBAGNE</t>
  </si>
  <si>
    <t>CC224</t>
  </si>
  <si>
    <t>CTCARR ST ALBAN</t>
  </si>
  <si>
    <t>CC227</t>
  </si>
  <si>
    <t>CTCARR AVIGNON</t>
  </si>
  <si>
    <t>CC232</t>
  </si>
  <si>
    <t>CTCARR MONTPELLIER</t>
  </si>
  <si>
    <t>CC236</t>
  </si>
  <si>
    <t>CTCARR LYON</t>
  </si>
  <si>
    <t>XC111</t>
  </si>
  <si>
    <t>SERVICE DV CTCARR</t>
  </si>
  <si>
    <t>XC3DI</t>
  </si>
  <si>
    <t>SERVICE COMMUNICATION DIGITALE</t>
  </si>
  <si>
    <t>XC301</t>
  </si>
  <si>
    <t xml:space="preserve">SERVICE COMMUNICATION </t>
  </si>
  <si>
    <t>XC401</t>
  </si>
  <si>
    <t>DG-AUDIT</t>
  </si>
  <si>
    <t>XC511</t>
  </si>
  <si>
    <t>SERVICE COMPTABILITE</t>
  </si>
  <si>
    <t>XC521</t>
  </si>
  <si>
    <t>SERVICE TRESORERIE</t>
  </si>
  <si>
    <t>XC531</t>
  </si>
  <si>
    <t>SERVICE CONTRÔLE DE GESTION</t>
  </si>
  <si>
    <t>XC532</t>
  </si>
  <si>
    <t>SERVICE CONTRÔLE DE GESTION OP</t>
  </si>
  <si>
    <t>SERVICE RH</t>
  </si>
  <si>
    <t>XC701</t>
  </si>
  <si>
    <t>SERVICE IMMOBILIER</t>
  </si>
  <si>
    <t>XC801</t>
  </si>
  <si>
    <t xml:space="preserve">SERVICE INFORMATIQUE </t>
  </si>
  <si>
    <t>XCVEX</t>
  </si>
  <si>
    <t>GLOBAL GROUPE</t>
  </si>
  <si>
    <t>XC911</t>
  </si>
  <si>
    <t>CAAD FORMATION</t>
  </si>
  <si>
    <t>XB801</t>
  </si>
  <si>
    <t>SASU NALIANS CONSULTING</t>
  </si>
  <si>
    <t>XC300</t>
  </si>
  <si>
    <t>SERVICE AGENCE COM</t>
  </si>
  <si>
    <t>DP286</t>
  </si>
  <si>
    <t>SCANDINAVIA</t>
  </si>
  <si>
    <t>DP285</t>
  </si>
  <si>
    <t>CENTRAL EUROPE</t>
  </si>
  <si>
    <t>DP284</t>
  </si>
  <si>
    <t>REST OF THE WORLD</t>
  </si>
  <si>
    <t>CC219</t>
  </si>
  <si>
    <t>CTCARR CARCASSONNE</t>
  </si>
  <si>
    <t>XC103</t>
  </si>
  <si>
    <t>DV WPP</t>
  </si>
  <si>
    <t>XC104</t>
  </si>
  <si>
    <t>DV VAD</t>
  </si>
  <si>
    <t>XCAG1</t>
  </si>
  <si>
    <t>AGENCE IMMOBILIERE NARBONNE</t>
  </si>
  <si>
    <t>ACSRI</t>
  </si>
  <si>
    <t>SUNROAD INDUSTRY</t>
  </si>
  <si>
    <t>XC914</t>
  </si>
  <si>
    <t>LOISIRS PERFORMANCES FORMATION</t>
  </si>
  <si>
    <t>XC721</t>
  </si>
  <si>
    <t>DEVELOPPEMENT  IMMO GROUPE</t>
  </si>
  <si>
    <t>XCG41</t>
  </si>
  <si>
    <t>SERVICE JURIDIQUE HOLDING</t>
  </si>
  <si>
    <t>XCGNA</t>
  </si>
  <si>
    <t>HOLDING GROUPE</t>
  </si>
  <si>
    <t>AC10A</t>
  </si>
  <si>
    <t>MAG DIJON</t>
  </si>
  <si>
    <t>AC10B</t>
  </si>
  <si>
    <t>NEOS-LOISIRS</t>
  </si>
  <si>
    <t>AC10C</t>
  </si>
  <si>
    <t>MAG RAVINALLA</t>
  </si>
  <si>
    <t>AC10D</t>
  </si>
  <si>
    <t>DEUX SEVRES LOISIRS</t>
  </si>
  <si>
    <t>AC10E</t>
  </si>
  <si>
    <t>BOURGES ISL</t>
  </si>
  <si>
    <t>AC10G</t>
  </si>
  <si>
    <t>MAG MACON</t>
  </si>
  <si>
    <t>AC10H</t>
  </si>
  <si>
    <t>MAG SUBLET</t>
  </si>
  <si>
    <t>AC10M</t>
  </si>
  <si>
    <t>MAG AGEN</t>
  </si>
  <si>
    <t>AC10N</t>
  </si>
  <si>
    <t>LOISIREO ALBI</t>
  </si>
  <si>
    <t>AC10J</t>
  </si>
  <si>
    <t xml:space="preserve">Niort Evasion </t>
  </si>
  <si>
    <t>AC10K</t>
  </si>
  <si>
    <t>Cassegrain</t>
  </si>
  <si>
    <t>AC10L</t>
  </si>
  <si>
    <t>Martin caravane</t>
  </si>
  <si>
    <t>DP053</t>
  </si>
  <si>
    <t>WEB LIBERTIUM FR</t>
  </si>
  <si>
    <t>DP054</t>
  </si>
  <si>
    <t>WEB ACCESSTORE</t>
  </si>
  <si>
    <t>DP055</t>
  </si>
  <si>
    <t>WEB IDYLCAR FR</t>
  </si>
  <si>
    <t>AC14C</t>
  </si>
  <si>
    <t>MAG YVES</t>
  </si>
  <si>
    <t>Axes 2</t>
  </si>
  <si>
    <t>TOTAL TTC (Validé)</t>
  </si>
  <si>
    <t>TOTAL TTC (Demandé)</t>
  </si>
  <si>
    <t>SOCIETE  :</t>
  </si>
  <si>
    <t>MATRICULE :</t>
  </si>
  <si>
    <t>Code site</t>
  </si>
  <si>
    <t>S009932021</t>
  </si>
  <si>
    <t>LSS</t>
  </si>
  <si>
    <t>S000111988</t>
  </si>
  <si>
    <t>NAS</t>
  </si>
  <si>
    <t>S000151990</t>
  </si>
  <si>
    <t>SP0</t>
  </si>
  <si>
    <t>S000171991</t>
  </si>
  <si>
    <t>111</t>
  </si>
  <si>
    <t>S000201991</t>
  </si>
  <si>
    <t>S000261993</t>
  </si>
  <si>
    <t>113</t>
  </si>
  <si>
    <t>S000341994</t>
  </si>
  <si>
    <t>S000351994</t>
  </si>
  <si>
    <t>LE2</t>
  </si>
  <si>
    <t>S000371994</t>
  </si>
  <si>
    <t>S000411995</t>
  </si>
  <si>
    <t>104</t>
  </si>
  <si>
    <t>S000481995</t>
  </si>
  <si>
    <t>S000551996</t>
  </si>
  <si>
    <t>S000621997</t>
  </si>
  <si>
    <t>S000671997</t>
  </si>
  <si>
    <t>S000711998</t>
  </si>
  <si>
    <t>280</t>
  </si>
  <si>
    <t>S000721998</t>
  </si>
  <si>
    <t>S000801998</t>
  </si>
  <si>
    <t>S000821998</t>
  </si>
  <si>
    <t>130</t>
  </si>
  <si>
    <t>S000861998</t>
  </si>
  <si>
    <t>S000881999</t>
  </si>
  <si>
    <t>S009862021</t>
  </si>
  <si>
    <t>SU1</t>
  </si>
  <si>
    <t>S000911999</t>
  </si>
  <si>
    <t>S000921999</t>
  </si>
  <si>
    <t>236</t>
  </si>
  <si>
    <t>S000982001</t>
  </si>
  <si>
    <t>S001021999</t>
  </si>
  <si>
    <t>S001102000</t>
  </si>
  <si>
    <t>S001152000</t>
  </si>
  <si>
    <t>S001232000</t>
  </si>
  <si>
    <t>S001272000</t>
  </si>
  <si>
    <t>S001342000</t>
  </si>
  <si>
    <t>291</t>
  </si>
  <si>
    <t>S001412001</t>
  </si>
  <si>
    <t>S001442001</t>
  </si>
  <si>
    <t>S001462001</t>
  </si>
  <si>
    <t>S001622001</t>
  </si>
  <si>
    <t>118</t>
  </si>
  <si>
    <t>S001642001</t>
  </si>
  <si>
    <t>S001662001</t>
  </si>
  <si>
    <t>S001812001</t>
  </si>
  <si>
    <t>S001822001</t>
  </si>
  <si>
    <t>S001852001</t>
  </si>
  <si>
    <t>S001922002</t>
  </si>
  <si>
    <t>S002382002</t>
  </si>
  <si>
    <t>131</t>
  </si>
  <si>
    <t>S002512002</t>
  </si>
  <si>
    <t>S002492002</t>
  </si>
  <si>
    <t>S002552002</t>
  </si>
  <si>
    <t>S002742003</t>
  </si>
  <si>
    <t>219</t>
  </si>
  <si>
    <t>S002832003</t>
  </si>
  <si>
    <t>S002892003</t>
  </si>
  <si>
    <t>S002932003</t>
  </si>
  <si>
    <t>105</t>
  </si>
  <si>
    <t>S003222003</t>
  </si>
  <si>
    <t>S003362004</t>
  </si>
  <si>
    <t>S003492004</t>
  </si>
  <si>
    <t>218</t>
  </si>
  <si>
    <t>S003652004</t>
  </si>
  <si>
    <t>S003852004</t>
  </si>
  <si>
    <t>S003942004</t>
  </si>
  <si>
    <t>S003962004</t>
  </si>
  <si>
    <t>S003992004</t>
  </si>
  <si>
    <t>S004722005</t>
  </si>
  <si>
    <t>S005842005</t>
  </si>
  <si>
    <t>S021572013</t>
  </si>
  <si>
    <t>110</t>
  </si>
  <si>
    <t>S006472005</t>
  </si>
  <si>
    <t>S007272005</t>
  </si>
  <si>
    <t>S008062006</t>
  </si>
  <si>
    <t>S008682006</t>
  </si>
  <si>
    <t>S008932006</t>
  </si>
  <si>
    <t>S009162006</t>
  </si>
  <si>
    <t>S009342006</t>
  </si>
  <si>
    <t>S009332006</t>
  </si>
  <si>
    <t>S013732007</t>
  </si>
  <si>
    <t>S009562006</t>
  </si>
  <si>
    <t>S009672006</t>
  </si>
  <si>
    <t>S014692008</t>
  </si>
  <si>
    <t>S010242006</t>
  </si>
  <si>
    <t>SL0</t>
  </si>
  <si>
    <t>S010772006</t>
  </si>
  <si>
    <t>S010822006</t>
  </si>
  <si>
    <t>S011072007</t>
  </si>
  <si>
    <t>S011252007</t>
  </si>
  <si>
    <t>S012622007</t>
  </si>
  <si>
    <t>S012652007</t>
  </si>
  <si>
    <t>S006832005</t>
  </si>
  <si>
    <t>S012922007</t>
  </si>
  <si>
    <t>S013522007</t>
  </si>
  <si>
    <t>S013652007</t>
  </si>
  <si>
    <t>232</t>
  </si>
  <si>
    <t>S000852017</t>
  </si>
  <si>
    <t>S014042007</t>
  </si>
  <si>
    <t>S014392008</t>
  </si>
  <si>
    <t>S015312008</t>
  </si>
  <si>
    <t>S015432008</t>
  </si>
  <si>
    <t>213</t>
  </si>
  <si>
    <t>S015922008</t>
  </si>
  <si>
    <t>S016772009</t>
  </si>
  <si>
    <t>S015972008</t>
  </si>
  <si>
    <t>S016842009</t>
  </si>
  <si>
    <t>S017432009</t>
  </si>
  <si>
    <t>S017812010</t>
  </si>
  <si>
    <t>S008512006</t>
  </si>
  <si>
    <t>SU0</t>
  </si>
  <si>
    <t>S017292009</t>
  </si>
  <si>
    <t>S018712010</t>
  </si>
  <si>
    <t>S019122011</t>
  </si>
  <si>
    <t>S019762011</t>
  </si>
  <si>
    <t>S002632017</t>
  </si>
  <si>
    <t>S003252018</t>
  </si>
  <si>
    <t>128</t>
  </si>
  <si>
    <t>S020742012</t>
  </si>
  <si>
    <t>S021122012</t>
  </si>
  <si>
    <t>S021762013</t>
  </si>
  <si>
    <t>S003742004</t>
  </si>
  <si>
    <t>S022602014</t>
  </si>
  <si>
    <t>S022742014</t>
  </si>
  <si>
    <t>201</t>
  </si>
  <si>
    <t>S022782014</t>
  </si>
  <si>
    <t>S009922021</t>
  </si>
  <si>
    <t>S023212014</t>
  </si>
  <si>
    <t>211</t>
  </si>
  <si>
    <t>S023462014</t>
  </si>
  <si>
    <t>S023592015</t>
  </si>
  <si>
    <t>127</t>
  </si>
  <si>
    <t>S023792015</t>
  </si>
  <si>
    <t>138</t>
  </si>
  <si>
    <t>S024182015</t>
  </si>
  <si>
    <t>S024202015</t>
  </si>
  <si>
    <t>S017322009</t>
  </si>
  <si>
    <t>203</t>
  </si>
  <si>
    <t>S024282015</t>
  </si>
  <si>
    <t>S024322015</t>
  </si>
  <si>
    <t>147</t>
  </si>
  <si>
    <t>S024442015</t>
  </si>
  <si>
    <t>S024532015</t>
  </si>
  <si>
    <t>S024502015</t>
  </si>
  <si>
    <t>S025032016</t>
  </si>
  <si>
    <t>129</t>
  </si>
  <si>
    <t>S025182016</t>
  </si>
  <si>
    <t>S025372016</t>
  </si>
  <si>
    <t>S025542016</t>
  </si>
  <si>
    <t>S000392016</t>
  </si>
  <si>
    <t>202</t>
  </si>
  <si>
    <t>S009912021</t>
  </si>
  <si>
    <t>S025102016</t>
  </si>
  <si>
    <t>S000462016</t>
  </si>
  <si>
    <t>S009802021</t>
  </si>
  <si>
    <t>S005022019</t>
  </si>
  <si>
    <t>121</t>
  </si>
  <si>
    <t>S010842021</t>
  </si>
  <si>
    <t>S000982017</t>
  </si>
  <si>
    <t>S001072017</t>
  </si>
  <si>
    <t>S001112017</t>
  </si>
  <si>
    <t>S001362017</t>
  </si>
  <si>
    <t>10H</t>
  </si>
  <si>
    <t>S012842022</t>
  </si>
  <si>
    <t>126</t>
  </si>
  <si>
    <t>S001672017</t>
  </si>
  <si>
    <t>S001822017</t>
  </si>
  <si>
    <t>S001952017</t>
  </si>
  <si>
    <t>S002222017</t>
  </si>
  <si>
    <t>S002282017</t>
  </si>
  <si>
    <t>148</t>
  </si>
  <si>
    <t>S002432017</t>
  </si>
  <si>
    <t>S002422017</t>
  </si>
  <si>
    <t>S002542017</t>
  </si>
  <si>
    <t>S013162022</t>
  </si>
  <si>
    <t>S002842017</t>
  </si>
  <si>
    <t>S002882018</t>
  </si>
  <si>
    <t>S002982018</t>
  </si>
  <si>
    <t>S003152018</t>
  </si>
  <si>
    <t>S003182018</t>
  </si>
  <si>
    <t>S013392022</t>
  </si>
  <si>
    <t>132</t>
  </si>
  <si>
    <t>S009822021</t>
  </si>
  <si>
    <t>S003732018</t>
  </si>
  <si>
    <t>210</t>
  </si>
  <si>
    <t>S003952018</t>
  </si>
  <si>
    <t>S004162018</t>
  </si>
  <si>
    <t>S004192018</t>
  </si>
  <si>
    <t>143</t>
  </si>
  <si>
    <t>S009902021</t>
  </si>
  <si>
    <t>S009832021</t>
  </si>
  <si>
    <t>S004412018</t>
  </si>
  <si>
    <t>238</t>
  </si>
  <si>
    <t>S004452018</t>
  </si>
  <si>
    <t>S004572018</t>
  </si>
  <si>
    <t>S004592018</t>
  </si>
  <si>
    <t>S004652018</t>
  </si>
  <si>
    <t>S004702018</t>
  </si>
  <si>
    <t>S014052007</t>
  </si>
  <si>
    <t>S004902018</t>
  </si>
  <si>
    <t>S015172008</t>
  </si>
  <si>
    <t>S004832018</t>
  </si>
  <si>
    <t>S013892022</t>
  </si>
  <si>
    <t>S014762023</t>
  </si>
  <si>
    <t>11A</t>
  </si>
  <si>
    <t>S015562008</t>
  </si>
  <si>
    <t>S005072019</t>
  </si>
  <si>
    <t>S005082019</t>
  </si>
  <si>
    <t>S005092019</t>
  </si>
  <si>
    <t>S024692015</t>
  </si>
  <si>
    <t>S005302019</t>
  </si>
  <si>
    <t>S009282006</t>
  </si>
  <si>
    <t>S001242017</t>
  </si>
  <si>
    <t>S005622019</t>
  </si>
  <si>
    <t>S005782019</t>
  </si>
  <si>
    <t>S006072019</t>
  </si>
  <si>
    <t>S009872021</t>
  </si>
  <si>
    <t>S009882021</t>
  </si>
  <si>
    <t>S006282019</t>
  </si>
  <si>
    <t>S014972023</t>
  </si>
  <si>
    <t>S002242002</t>
  </si>
  <si>
    <t>S006522019</t>
  </si>
  <si>
    <t>S006712019</t>
  </si>
  <si>
    <t>S006812019</t>
  </si>
  <si>
    <t>S006862019</t>
  </si>
  <si>
    <t>S007282020</t>
  </si>
  <si>
    <t>S007302020</t>
  </si>
  <si>
    <t>S007442020</t>
  </si>
  <si>
    <t>S007552020</t>
  </si>
  <si>
    <t>S007662020</t>
  </si>
  <si>
    <t>S008282020</t>
  </si>
  <si>
    <t>S009072020</t>
  </si>
  <si>
    <t>S008052020</t>
  </si>
  <si>
    <t>S004892018</t>
  </si>
  <si>
    <t>S007972020</t>
  </si>
  <si>
    <t>S009002020</t>
  </si>
  <si>
    <t>S008522020</t>
  </si>
  <si>
    <t>S002772017</t>
  </si>
  <si>
    <t>S000000256</t>
  </si>
  <si>
    <t>S008692020</t>
  </si>
  <si>
    <t>S008922020</t>
  </si>
  <si>
    <t>S008832020</t>
  </si>
  <si>
    <t>S007932020</t>
  </si>
  <si>
    <t>S009362021</t>
  </si>
  <si>
    <t>S024402015</t>
  </si>
  <si>
    <t>S008152020</t>
  </si>
  <si>
    <t>S009282021</t>
  </si>
  <si>
    <t>S009342021</t>
  </si>
  <si>
    <t>S009322021</t>
  </si>
  <si>
    <t>S000000266</t>
  </si>
  <si>
    <t>136</t>
  </si>
  <si>
    <t>S022662014</t>
  </si>
  <si>
    <t>S009412021</t>
  </si>
  <si>
    <t>S009392021</t>
  </si>
  <si>
    <t>S009502021</t>
  </si>
  <si>
    <t>S009492021</t>
  </si>
  <si>
    <t>S007542020</t>
  </si>
  <si>
    <t>S000000305</t>
  </si>
  <si>
    <t>S009582021</t>
  </si>
  <si>
    <t>S009592021</t>
  </si>
  <si>
    <t>S009552021</t>
  </si>
  <si>
    <t>227</t>
  </si>
  <si>
    <t>S009672021</t>
  </si>
  <si>
    <t>S009952021</t>
  </si>
  <si>
    <t>S009972021</t>
  </si>
  <si>
    <t>S002562002</t>
  </si>
  <si>
    <t>S010132021</t>
  </si>
  <si>
    <t>S010142021</t>
  </si>
  <si>
    <t>S010292021</t>
  </si>
  <si>
    <t>S010312021</t>
  </si>
  <si>
    <t>S010562021</t>
  </si>
  <si>
    <t>14A</t>
  </si>
  <si>
    <t>S010682021</t>
  </si>
  <si>
    <t>S010852021</t>
  </si>
  <si>
    <t>S010062021</t>
  </si>
  <si>
    <t>S010832021</t>
  </si>
  <si>
    <t>S000000309</t>
  </si>
  <si>
    <t>S006502005</t>
  </si>
  <si>
    <t>S010902021</t>
  </si>
  <si>
    <t>S022172013</t>
  </si>
  <si>
    <t>S015682008</t>
  </si>
  <si>
    <t>146</t>
  </si>
  <si>
    <t>S011272021</t>
  </si>
  <si>
    <t>S011382021</t>
  </si>
  <si>
    <t>S006112005</t>
  </si>
  <si>
    <t>S011422021</t>
  </si>
  <si>
    <t>S011462021</t>
  </si>
  <si>
    <t>125</t>
  </si>
  <si>
    <t>S011482021</t>
  </si>
  <si>
    <t>S011562022</t>
  </si>
  <si>
    <t>S011572022</t>
  </si>
  <si>
    <t>S011512021</t>
  </si>
  <si>
    <t>S011662022</t>
  </si>
  <si>
    <t>S000472016</t>
  </si>
  <si>
    <t>S009472006</t>
  </si>
  <si>
    <t>S010082021</t>
  </si>
  <si>
    <t>S011802022</t>
  </si>
  <si>
    <t>S011852022</t>
  </si>
  <si>
    <t>S012022022</t>
  </si>
  <si>
    <t>S004292018</t>
  </si>
  <si>
    <t>S012122022</t>
  </si>
  <si>
    <t>S012112022</t>
  </si>
  <si>
    <t>S012152022</t>
  </si>
  <si>
    <t>S012192022</t>
  </si>
  <si>
    <t>S012212022</t>
  </si>
  <si>
    <t>109</t>
  </si>
  <si>
    <t>S012302022</t>
  </si>
  <si>
    <t>S012312022</t>
  </si>
  <si>
    <t>S014702008</t>
  </si>
  <si>
    <t>S012412022</t>
  </si>
  <si>
    <t>S000000282</t>
  </si>
  <si>
    <t>10B</t>
  </si>
  <si>
    <t>S012612022</t>
  </si>
  <si>
    <t>S012712022</t>
  </si>
  <si>
    <t>S020262011</t>
  </si>
  <si>
    <t>S012772022</t>
  </si>
  <si>
    <t>S012972022</t>
  </si>
  <si>
    <t>S020732012</t>
  </si>
  <si>
    <t>S006812005</t>
  </si>
  <si>
    <t>S013242022</t>
  </si>
  <si>
    <t>S013232022</t>
  </si>
  <si>
    <t>S013332022</t>
  </si>
  <si>
    <t>S013372022</t>
  </si>
  <si>
    <t>S021062012</t>
  </si>
  <si>
    <t>S013442022</t>
  </si>
  <si>
    <t>S013412022</t>
  </si>
  <si>
    <t>S013482022</t>
  </si>
  <si>
    <t>S013572022</t>
  </si>
  <si>
    <t>S013712022</t>
  </si>
  <si>
    <t>S011842022</t>
  </si>
  <si>
    <t>S013882022</t>
  </si>
  <si>
    <t>S013942022</t>
  </si>
  <si>
    <t>S013632022</t>
  </si>
  <si>
    <t>S013962022</t>
  </si>
  <si>
    <t>S013642022</t>
  </si>
  <si>
    <t>S004872018</t>
  </si>
  <si>
    <t>S014002003</t>
  </si>
  <si>
    <t>S014102023</t>
  </si>
  <si>
    <t>S014112023</t>
  </si>
  <si>
    <t>14B</t>
  </si>
  <si>
    <t>S013932022</t>
  </si>
  <si>
    <t>S014242023</t>
  </si>
  <si>
    <t>S014302023</t>
  </si>
  <si>
    <t>S014392023</t>
  </si>
  <si>
    <t>S014462023</t>
  </si>
  <si>
    <t>S014592023</t>
  </si>
  <si>
    <t>S014672023</t>
  </si>
  <si>
    <t>S014692023</t>
  </si>
  <si>
    <t>S006352019</t>
  </si>
  <si>
    <t>S014802023</t>
  </si>
  <si>
    <t>S016002023</t>
  </si>
  <si>
    <t>S015232023</t>
  </si>
  <si>
    <t>S014982023</t>
  </si>
  <si>
    <t>SR0</t>
  </si>
  <si>
    <t>S008642020</t>
  </si>
  <si>
    <t>S015562023</t>
  </si>
  <si>
    <t>S015492023</t>
  </si>
  <si>
    <t>S015062023</t>
  </si>
  <si>
    <t>S015122023</t>
  </si>
  <si>
    <t>S015192023</t>
  </si>
  <si>
    <t>S015312023</t>
  </si>
  <si>
    <t>S015472023</t>
  </si>
  <si>
    <t>S015462023</t>
  </si>
  <si>
    <t>S015432023</t>
  </si>
  <si>
    <t>S014132023</t>
  </si>
  <si>
    <t>S015572023</t>
  </si>
  <si>
    <t>S015552023</t>
  </si>
  <si>
    <t>S015702023</t>
  </si>
  <si>
    <t>S015712023</t>
  </si>
  <si>
    <t>S015732023</t>
  </si>
  <si>
    <t>S015782023</t>
  </si>
  <si>
    <t>S015752023</t>
  </si>
  <si>
    <t>11B</t>
  </si>
  <si>
    <t>S010872021</t>
  </si>
  <si>
    <t>S015852023</t>
  </si>
  <si>
    <t>S016012023</t>
  </si>
  <si>
    <t>S018462010</t>
  </si>
  <si>
    <t>116</t>
  </si>
  <si>
    <t>S015912023</t>
  </si>
  <si>
    <t>S015932023</t>
  </si>
  <si>
    <t>S015942023</t>
  </si>
  <si>
    <t>S000000015</t>
  </si>
  <si>
    <t>S000000021</t>
  </si>
  <si>
    <t>10G</t>
  </si>
  <si>
    <t>S000000034</t>
  </si>
  <si>
    <t>S000000035</t>
  </si>
  <si>
    <t>S000000042</t>
  </si>
  <si>
    <t>S000000064</t>
  </si>
  <si>
    <t>S000000068</t>
  </si>
  <si>
    <t>S000000078</t>
  </si>
  <si>
    <t>S000000091</t>
  </si>
  <si>
    <t>S000000098</t>
  </si>
  <si>
    <t>S000000097</t>
  </si>
  <si>
    <t>S000000096</t>
  </si>
  <si>
    <t>S022192013</t>
  </si>
  <si>
    <t>S000000110</t>
  </si>
  <si>
    <t>S000000104</t>
  </si>
  <si>
    <t>S000012024</t>
  </si>
  <si>
    <t>LO1</t>
  </si>
  <si>
    <t>S000000113</t>
  </si>
  <si>
    <t>S000000118</t>
  </si>
  <si>
    <t>S000000119</t>
  </si>
  <si>
    <t>S000000131</t>
  </si>
  <si>
    <t>S000000124</t>
  </si>
  <si>
    <t>S000000130</t>
  </si>
  <si>
    <t>S000000133</t>
  </si>
  <si>
    <t>S000000139</t>
  </si>
  <si>
    <t>S000000135</t>
  </si>
  <si>
    <t>S000000145</t>
  </si>
  <si>
    <t>S000000146</t>
  </si>
  <si>
    <t>S000042024</t>
  </si>
  <si>
    <t>S000000149</t>
  </si>
  <si>
    <t>S000000156</t>
  </si>
  <si>
    <t>S000000157</t>
  </si>
  <si>
    <t>S000000053</t>
  </si>
  <si>
    <t>S000000159</t>
  </si>
  <si>
    <t>S000000160</t>
  </si>
  <si>
    <t>S000000290</t>
  </si>
  <si>
    <t>S000000162</t>
  </si>
  <si>
    <t>S000000164</t>
  </si>
  <si>
    <t>S000000166</t>
  </si>
  <si>
    <t>S000000167</t>
  </si>
  <si>
    <t>S000000169</t>
  </si>
  <si>
    <t>S000000173</t>
  </si>
  <si>
    <t>S000000174</t>
  </si>
  <si>
    <t>S000000176</t>
  </si>
  <si>
    <t>S000000179</t>
  </si>
  <si>
    <t>S000000177</t>
  </si>
  <si>
    <t>S010022021</t>
  </si>
  <si>
    <t>S000000088</t>
  </si>
  <si>
    <t>S000000180</t>
  </si>
  <si>
    <t>S000000181</t>
  </si>
  <si>
    <t>S000000182</t>
  </si>
  <si>
    <t>S000000184</t>
  </si>
  <si>
    <t>S000000185</t>
  </si>
  <si>
    <t>S000000186</t>
  </si>
  <si>
    <t>S000000189</t>
  </si>
  <si>
    <t>S000000188</t>
  </si>
  <si>
    <t>S000052025</t>
  </si>
  <si>
    <t>S000000192</t>
  </si>
  <si>
    <t>S000000193</t>
  </si>
  <si>
    <t>S000000191</t>
  </si>
  <si>
    <t>S000000195</t>
  </si>
  <si>
    <t>S000000196</t>
  </si>
  <si>
    <t>S000000197</t>
  </si>
  <si>
    <t>S000000198</t>
  </si>
  <si>
    <t>S000000199</t>
  </si>
  <si>
    <t>S000000200</t>
  </si>
  <si>
    <t>S000000209</t>
  </si>
  <si>
    <t>S000000202</t>
  </si>
  <si>
    <t>S000000087</t>
  </si>
  <si>
    <t>S000000205</t>
  </si>
  <si>
    <t>S000000207</t>
  </si>
  <si>
    <t>S000000206</t>
  </si>
  <si>
    <t>S000000203</t>
  </si>
  <si>
    <t>S000000208</t>
  </si>
  <si>
    <t>S000000210</t>
  </si>
  <si>
    <t>S000000213</t>
  </si>
  <si>
    <t>S000000214</t>
  </si>
  <si>
    <t>S000000218</t>
  </si>
  <si>
    <t>S000000215</t>
  </si>
  <si>
    <t>S000000219</t>
  </si>
  <si>
    <t>S000000220</t>
  </si>
  <si>
    <t>S000000223</t>
  </si>
  <si>
    <t>S000000222</t>
  </si>
  <si>
    <t>S000062024</t>
  </si>
  <si>
    <t>S000000102</t>
  </si>
  <si>
    <t>S000000225</t>
  </si>
  <si>
    <t>S000000224</t>
  </si>
  <si>
    <t>S000000023</t>
  </si>
  <si>
    <t>S000000228</t>
  </si>
  <si>
    <t>S000000227</t>
  </si>
  <si>
    <t>S000000231</t>
  </si>
  <si>
    <t>S000000121</t>
  </si>
  <si>
    <t>S000000233</t>
  </si>
  <si>
    <t>S000000232</t>
  </si>
  <si>
    <t>S000000236</t>
  </si>
  <si>
    <t>S000000230</t>
  </si>
  <si>
    <t>S000000240</t>
  </si>
  <si>
    <t>S000000242</t>
  </si>
  <si>
    <t>S000000244</t>
  </si>
  <si>
    <t>S000000245</t>
  </si>
  <si>
    <t>S000000246</t>
  </si>
  <si>
    <t>S000000252</t>
  </si>
  <si>
    <t>S000000247</t>
  </si>
  <si>
    <t>S000000248</t>
  </si>
  <si>
    <t>S000000253</t>
  </si>
  <si>
    <t>S000000249</t>
  </si>
  <si>
    <t>S000000250</t>
  </si>
  <si>
    <t>S000000254</t>
  </si>
  <si>
    <t>S000000255</t>
  </si>
  <si>
    <t>S009432021</t>
  </si>
  <si>
    <t>S012162022</t>
  </si>
  <si>
    <t>S012882022</t>
  </si>
  <si>
    <t>S000000257</t>
  </si>
  <si>
    <t>S000000260</t>
  </si>
  <si>
    <t>S000000259</t>
  </si>
  <si>
    <t>S000000258</t>
  </si>
  <si>
    <t>S000000261</t>
  </si>
  <si>
    <t>S000000262</t>
  </si>
  <si>
    <t>S000000263</t>
  </si>
  <si>
    <t>S000000265</t>
  </si>
  <si>
    <t>S000000264</t>
  </si>
  <si>
    <t>S003712004</t>
  </si>
  <si>
    <t>S000000267</t>
  </si>
  <si>
    <t>S000000269</t>
  </si>
  <si>
    <t>S000000270</t>
  </si>
  <si>
    <t>S000072025</t>
  </si>
  <si>
    <t>S000000271</t>
  </si>
  <si>
    <t>S000000272</t>
  </si>
  <si>
    <t>S000000273</t>
  </si>
  <si>
    <t>S000000274</t>
  </si>
  <si>
    <t>S000000276</t>
  </si>
  <si>
    <t>S000000279</t>
  </si>
  <si>
    <t>S000000281</t>
  </si>
  <si>
    <t>S000000278</t>
  </si>
  <si>
    <t>S000000275</t>
  </si>
  <si>
    <t>S000000277</t>
  </si>
  <si>
    <t>S000000280</t>
  </si>
  <si>
    <t>S015042023</t>
  </si>
  <si>
    <t>S000000283</t>
  </si>
  <si>
    <t>S000000286</t>
  </si>
  <si>
    <t>S000000284</t>
  </si>
  <si>
    <t>S000000287</t>
  </si>
  <si>
    <t>S000000288</t>
  </si>
  <si>
    <t>S000000289</t>
  </si>
  <si>
    <t>S003452018</t>
  </si>
  <si>
    <t>S000000294</t>
  </si>
  <si>
    <t>S000000292</t>
  </si>
  <si>
    <t>S000000293</t>
  </si>
  <si>
    <t>S000000237</t>
  </si>
  <si>
    <t>S000000295</t>
  </si>
  <si>
    <t>S000000296</t>
  </si>
  <si>
    <t>S000000229</t>
  </si>
  <si>
    <t>S000000243</t>
  </si>
  <si>
    <t>S000000297</t>
  </si>
  <si>
    <t>S000000298</t>
  </si>
  <si>
    <t>S000000300</t>
  </si>
  <si>
    <t>S000000301</t>
  </si>
  <si>
    <t>S000000299</t>
  </si>
  <si>
    <t>S000000302</t>
  </si>
  <si>
    <t>S000000306</t>
  </si>
  <si>
    <t>S000000308</t>
  </si>
  <si>
    <t>S000000303</t>
  </si>
  <si>
    <t>S000000304</t>
  </si>
  <si>
    <t>S000000311</t>
  </si>
  <si>
    <t>S000000310</t>
  </si>
  <si>
    <t>S012862022</t>
  </si>
  <si>
    <t>S000000291</t>
  </si>
  <si>
    <t>S000000307</t>
  </si>
  <si>
    <t>S000000312</t>
  </si>
  <si>
    <t>S000000313</t>
  </si>
  <si>
    <t>CORVO MARTINE</t>
  </si>
  <si>
    <t>MASSE BRUNO</t>
  </si>
  <si>
    <t>LEDUC BERNARD</t>
  </si>
  <si>
    <t>MICHLER EMMANUEL</t>
  </si>
  <si>
    <t>MANON BRUNO</t>
  </si>
  <si>
    <t>FERREIRA TONIO</t>
  </si>
  <si>
    <t>DESMARCHELIER SÉBASTIEN</t>
  </si>
  <si>
    <t>MARTIN PATRICK</t>
  </si>
  <si>
    <t>ANGLADE KARINE</t>
  </si>
  <si>
    <t>DEPONDT DAVID</t>
  </si>
  <si>
    <t>COUSIN ARMAND</t>
  </si>
  <si>
    <t>MICHEL STÉPHANE</t>
  </si>
  <si>
    <t>SLJIVIC JEROME</t>
  </si>
  <si>
    <t>MASSE YANNICK</t>
  </si>
  <si>
    <t>ROCHEL FABRICE</t>
  </si>
  <si>
    <t>BERNA RAYMOND</t>
  </si>
  <si>
    <t>SERMON JEAN SEBASTIEN</t>
  </si>
  <si>
    <t>MARTINEZ NICOLAS</t>
  </si>
  <si>
    <t>PORLAN SANDRINE</t>
  </si>
  <si>
    <t>VERDALE JEAN PIERRE</t>
  </si>
  <si>
    <t>MANDAROUX DAVID</t>
  </si>
  <si>
    <t>LECHOCINSKI DAVID</t>
  </si>
  <si>
    <t>CELLE FABIEN</t>
  </si>
  <si>
    <t>CLAVEL MARIE LAURE</t>
  </si>
  <si>
    <t>VIALA MARIE JOSÉ</t>
  </si>
  <si>
    <t>LLACH NATHALIE</t>
  </si>
  <si>
    <t>FERRANDIZ JEROME</t>
  </si>
  <si>
    <t>PICO FRANCK</t>
  </si>
  <si>
    <t>DUSAULCY ISABELLE</t>
  </si>
  <si>
    <t>CERIZAY CHRISTOPHE</t>
  </si>
  <si>
    <t>OLIAS CHLOE</t>
  </si>
  <si>
    <t>DAUDE KARINE</t>
  </si>
  <si>
    <t>DEFORGES ANGELO</t>
  </si>
  <si>
    <t>CASANOVA CHRISTEL</t>
  </si>
  <si>
    <t>TIMMERMAN ADELINE</t>
  </si>
  <si>
    <t>LAHARY RÉGIS</t>
  </si>
  <si>
    <t>GUERIN MICHAEL</t>
  </si>
  <si>
    <t>CHAMINAND DAVID</t>
  </si>
  <si>
    <t>MELAN YANNICK</t>
  </si>
  <si>
    <t>BOURGON VERONIQUE</t>
  </si>
  <si>
    <t>DUPORT DAVID</t>
  </si>
  <si>
    <t>BROUT NATHALIE</t>
  </si>
  <si>
    <t>LE GOFF RONAN</t>
  </si>
  <si>
    <t>CAILLERET REMY</t>
  </si>
  <si>
    <t>DUMONT ALEXANDRE</t>
  </si>
  <si>
    <t>PEROTTET BENJAMIN</t>
  </si>
  <si>
    <t>RIBERE LIONEL</t>
  </si>
  <si>
    <t>HURTREL NICOLAS</t>
  </si>
  <si>
    <t>THIEBAUT EMMANUEL</t>
  </si>
  <si>
    <t>CALAS ISABELLE</t>
  </si>
  <si>
    <t>MONNEREAU JACQUELINE</t>
  </si>
  <si>
    <t>CHAMBAUD STÉPHANE</t>
  </si>
  <si>
    <t>GEMGEMBRE STÉPHANE</t>
  </si>
  <si>
    <t>ALMEIDA CÉLINE</t>
  </si>
  <si>
    <t>GARCIA LAURENT</t>
  </si>
  <si>
    <t>CHAUDESAYGUES OLIVIER</t>
  </si>
  <si>
    <t>BERTHIER JEAN-CHRISTOPHE</t>
  </si>
  <si>
    <t>LACOUR STÉPHANIE</t>
  </si>
  <si>
    <t>GAILLARD  ERIC</t>
  </si>
  <si>
    <t>CORENTHIN JEAN-MARC</t>
  </si>
  <si>
    <t>MARGOT LYDIE</t>
  </si>
  <si>
    <t>MARTINEZ THIERRY</t>
  </si>
  <si>
    <t>BELENGUER VIRGINIE</t>
  </si>
  <si>
    <t>CAUFAPE VALÉRIE</t>
  </si>
  <si>
    <t>MONTAGNE SANDY</t>
  </si>
  <si>
    <t>CONTE FLORENCE</t>
  </si>
  <si>
    <t>LAVISSE SANDRINE</t>
  </si>
  <si>
    <t>DE SOUSA LUIS</t>
  </si>
  <si>
    <t>MASSA JEAN-MARC</t>
  </si>
  <si>
    <t>DREMONT EMMANUELLE</t>
  </si>
  <si>
    <t>SENES YANN</t>
  </si>
  <si>
    <t>PASTRE JULIEN</t>
  </si>
  <si>
    <t>MORATALLA STÉPHANIE</t>
  </si>
  <si>
    <t>BONNECAZE KATHY</t>
  </si>
  <si>
    <t>REMY LAURENT</t>
  </si>
  <si>
    <t>RAYNAUD ELISABETH</t>
  </si>
  <si>
    <t>VARINI ALAIN</t>
  </si>
  <si>
    <t>MAILLY STÉPHANE</t>
  </si>
  <si>
    <t>ROUVIERE MARIE-NOELLE</t>
  </si>
  <si>
    <t>DREUILH CHARPENTIER NADÈGE</t>
  </si>
  <si>
    <t>BLATRIX FOURLEIGNIE CHRISTELLE</t>
  </si>
  <si>
    <t>IBRAHIMI BRAHIM</t>
  </si>
  <si>
    <t>GUYOT CÉDRIC</t>
  </si>
  <si>
    <t>ILLAC SACHA</t>
  </si>
  <si>
    <t>CID JÉRÔME</t>
  </si>
  <si>
    <t>VIDELAINE JEAN-LUC</t>
  </si>
  <si>
    <t>ARSIVAUD JULIEN</t>
  </si>
  <si>
    <t>ANNET CHARLOTTE</t>
  </si>
  <si>
    <t>BILLA BERTRAND</t>
  </si>
  <si>
    <t>SURREAUX CÉDRIC</t>
  </si>
  <si>
    <t>DURAND AMANDINE</t>
  </si>
  <si>
    <t>GRANGE ALBAN</t>
  </si>
  <si>
    <t>PERDRIOL FRÉDÉRIC</t>
  </si>
  <si>
    <t>CERDAN NICOLAS</t>
  </si>
  <si>
    <t>MARTINEZ ARNAUD</t>
  </si>
  <si>
    <t>ROQUES VÉRONIQUE</t>
  </si>
  <si>
    <t>DRUETTA AMANDINE</t>
  </si>
  <si>
    <t>GARCIA BRIGITTE</t>
  </si>
  <si>
    <t>FRACHON ALEXANDRE</t>
  </si>
  <si>
    <t>ANDRIEU SÉBASTIEN</t>
  </si>
  <si>
    <t>LEFEVRE XAVIER</t>
  </si>
  <si>
    <t>MARGOT RENATO</t>
  </si>
  <si>
    <t>JOLY NICOLAS</t>
  </si>
  <si>
    <t>LORENZINI BRICE</t>
  </si>
  <si>
    <t>BOURGET ERIC</t>
  </si>
  <si>
    <t>JOLY ISABELLE</t>
  </si>
  <si>
    <t>DAL MASO MATHIS</t>
  </si>
  <si>
    <t>DERICQ LUDIVINE</t>
  </si>
  <si>
    <t>RUFFIE TEDDY</t>
  </si>
  <si>
    <t>BADIN PASCAL</t>
  </si>
  <si>
    <t>BERNABEU LUDOVIC</t>
  </si>
  <si>
    <t>RAMIREZ PENA ANILEUDIS</t>
  </si>
  <si>
    <t>GIRAUD PIERRE</t>
  </si>
  <si>
    <t>LESPRIT OLIVIER</t>
  </si>
  <si>
    <t>FRANKENBACH SÉBASTIEN</t>
  </si>
  <si>
    <t>GARRIGUES CHRISTOPHE</t>
  </si>
  <si>
    <t>BILLON DESCARPENTIES CLÉMENT</t>
  </si>
  <si>
    <t>LAPIERRE STÉPHANIE</t>
  </si>
  <si>
    <t>MATTEI JULIA</t>
  </si>
  <si>
    <t>VASQUEZ BRUNO</t>
  </si>
  <si>
    <t>BIGOT JEANNE-MARIE</t>
  </si>
  <si>
    <t>BEVIERE DAVY</t>
  </si>
  <si>
    <t>ISAMBOURG DAVID</t>
  </si>
  <si>
    <t>BENIDIR KARIM</t>
  </si>
  <si>
    <t>GALIANA ALICE</t>
  </si>
  <si>
    <t>ERAFYK MOHAMMED</t>
  </si>
  <si>
    <t xml:space="preserve">AROD LOUIS </t>
  </si>
  <si>
    <t>JALABERT  AXEL</t>
  </si>
  <si>
    <t>MALICORNE THIERRY</t>
  </si>
  <si>
    <t>GENE DIDIER</t>
  </si>
  <si>
    <t>CHRISTOPHEL GILLES</t>
  </si>
  <si>
    <t>AULERY STÉPHANE</t>
  </si>
  <si>
    <t>MIMAULT LISA</t>
  </si>
  <si>
    <t>SIDOUNI FARID</t>
  </si>
  <si>
    <t>DANNEELS THIERRY</t>
  </si>
  <si>
    <t>BOUARFA HAKIM</t>
  </si>
  <si>
    <t>AISSANI TOUFIK</t>
  </si>
  <si>
    <t>LANGELOT ARNAUD</t>
  </si>
  <si>
    <t>BLAYE PHILIPPE</t>
  </si>
  <si>
    <t>ROUAN OLIVIER</t>
  </si>
  <si>
    <t>LANUSSE  REMY</t>
  </si>
  <si>
    <t>GENTIL DENIS</t>
  </si>
  <si>
    <t>HAON  FRÉDÉRIC</t>
  </si>
  <si>
    <t>CAUDRON VINCENT</t>
  </si>
  <si>
    <t>LACOSTE VINCENT</t>
  </si>
  <si>
    <t>GARCIA JEREMY</t>
  </si>
  <si>
    <t>ESCOFFIER NATHAN</t>
  </si>
  <si>
    <t>CHAMPION PATRICIA</t>
  </si>
  <si>
    <t>FERRET GUILLAUME</t>
  </si>
  <si>
    <t>BOSVIEUX JULIEN</t>
  </si>
  <si>
    <t>ROUFFAUD RÉMI</t>
  </si>
  <si>
    <t>LOBO CHRIS</t>
  </si>
  <si>
    <t>CHATELET THOMAS</t>
  </si>
  <si>
    <t>BOITANO SÉBASTIEN</t>
  </si>
  <si>
    <t>HERIN HULEWICZ DELPHINE</t>
  </si>
  <si>
    <t>CORNU SEBASTIEN</t>
  </si>
  <si>
    <t>VEGA VALÉRIE</t>
  </si>
  <si>
    <t>DANIELE GAETANO</t>
  </si>
  <si>
    <t>GUIDINI GUILLAUME</t>
  </si>
  <si>
    <t>MASSA MALIK</t>
  </si>
  <si>
    <t>BELOT CLAUDE</t>
  </si>
  <si>
    <t>PIERRE MARJORIE</t>
  </si>
  <si>
    <t>HENNAOUI MAËL</t>
  </si>
  <si>
    <t>VERRIER FLORIAN</t>
  </si>
  <si>
    <t>LANDELLE  YOANN</t>
  </si>
  <si>
    <t>CHATRAS AURÉLIE</t>
  </si>
  <si>
    <t>CABRERA CINDY</t>
  </si>
  <si>
    <t>POMERANZ YVES</t>
  </si>
  <si>
    <t>LIGNON VINCENT</t>
  </si>
  <si>
    <t>TOMASI YAËLLE</t>
  </si>
  <si>
    <t>ROUSSEAU PHILIPPE</t>
  </si>
  <si>
    <t>LAUDE FABRICE</t>
  </si>
  <si>
    <t>GOURAUD DAVID</t>
  </si>
  <si>
    <t>HUGUET OLIVIA</t>
  </si>
  <si>
    <t>PICOCHE CLÉMENT</t>
  </si>
  <si>
    <t>SAINT GERMAIN CÉDRIC</t>
  </si>
  <si>
    <t>MAILLY VIRGINIE</t>
  </si>
  <si>
    <t>OSTRE CHARLY</t>
  </si>
  <si>
    <t>DUMAS PATRICE</t>
  </si>
  <si>
    <t>DOUELLE ESTELLE</t>
  </si>
  <si>
    <t>DESMARESCAUX SULLYVAN</t>
  </si>
  <si>
    <t>MANDAROUX MATTÉO</t>
  </si>
  <si>
    <t>EL MAKRINI ATIKA</t>
  </si>
  <si>
    <t>BOURIAMES CHRISTINE</t>
  </si>
  <si>
    <t>INCOGNITO TONI</t>
  </si>
  <si>
    <t>HERMANTIN EVELYNE</t>
  </si>
  <si>
    <t>MILLOT CHRISTAL CATHERINE</t>
  </si>
  <si>
    <t>AYADI MOHAMED AMINE</t>
  </si>
  <si>
    <t>LAFON CAROLE</t>
  </si>
  <si>
    <t>GAYDIER RÉMI</t>
  </si>
  <si>
    <t>TIENVROT PIERRE JEAN</t>
  </si>
  <si>
    <t>DRAGER MARTIN</t>
  </si>
  <si>
    <t>MILLOT CHRISTAL YANN</t>
  </si>
  <si>
    <t>LORENTE BENJAMIN</t>
  </si>
  <si>
    <t>TIENVROT MARINA</t>
  </si>
  <si>
    <t>DE GIACOMI KELLIAN</t>
  </si>
  <si>
    <t>LEVANTACI SÉBASTIEN</t>
  </si>
  <si>
    <t>BLANCHARD AGNÈS</t>
  </si>
  <si>
    <t>ROCHE DELPHINE</t>
  </si>
  <si>
    <t>RICHARD MATHILDE</t>
  </si>
  <si>
    <t>AUBERT CLÉMENT</t>
  </si>
  <si>
    <t>MARTIN PAULINE</t>
  </si>
  <si>
    <t>DE GRANDI FLORIAN</t>
  </si>
  <si>
    <t>HUCHET SÉBASTIEN</t>
  </si>
  <si>
    <t>BALMISA CLÉMENT</t>
  </si>
  <si>
    <t>SERRANO MATIS</t>
  </si>
  <si>
    <t>BELGOURARI HAMID</t>
  </si>
  <si>
    <t>MERCIER GUYLLAUME</t>
  </si>
  <si>
    <t>LAPIERRE DIDIER</t>
  </si>
  <si>
    <t>ABBAL STÉPHANE</t>
  </si>
  <si>
    <t>FITO PIERRICK</t>
  </si>
  <si>
    <t>LARGILLIERE PATRICK</t>
  </si>
  <si>
    <t>HERNANDEZ JEAMMY</t>
  </si>
  <si>
    <t>FERNANDEZ JULIEN</t>
  </si>
  <si>
    <t>VOIDY BENJAMIN</t>
  </si>
  <si>
    <t>LAPAUZE VIRGINIE</t>
  </si>
  <si>
    <t>TEYSSIER ERIC</t>
  </si>
  <si>
    <t>TROUVE DAVID</t>
  </si>
  <si>
    <t>ADIVEZE THÉO</t>
  </si>
  <si>
    <t>RICOUX PASCAL</t>
  </si>
  <si>
    <t>RALLO JULIEN</t>
  </si>
  <si>
    <t>VINCENT  PHILIPPE</t>
  </si>
  <si>
    <t>CABOT PAULINE</t>
  </si>
  <si>
    <t>MACHECOURT SANDRINE</t>
  </si>
  <si>
    <t>SCREMIN HERVÉ</t>
  </si>
  <si>
    <t>JESSE INGMAR</t>
  </si>
  <si>
    <t>GUINE NICOLAS</t>
  </si>
  <si>
    <t>MAULINE DIDIER</t>
  </si>
  <si>
    <t>NORMAND CYRILLE</t>
  </si>
  <si>
    <t>DESCHAMPS PASCAL</t>
  </si>
  <si>
    <t>MELLOUL CHLOÉ</t>
  </si>
  <si>
    <t>GENTILINI DAVID FABRICE</t>
  </si>
  <si>
    <t>HERPAIN STÉPHANE</t>
  </si>
  <si>
    <t>LECLERCQ FRANÇOIS</t>
  </si>
  <si>
    <t>CURSIO ANTHONY</t>
  </si>
  <si>
    <t>MENCHON THÉO</t>
  </si>
  <si>
    <t>NOEL AURÉLIE</t>
  </si>
  <si>
    <t>BARY CHLOÉ</t>
  </si>
  <si>
    <t>CASCETTI-CHABAL NICOLAS</t>
  </si>
  <si>
    <t>DUHAMEL  PHILIPPE</t>
  </si>
  <si>
    <t>ILLAC VIRGINIA</t>
  </si>
  <si>
    <t>FETTIS PATRICK</t>
  </si>
  <si>
    <t>DE BRABANDERE NICOLAS</t>
  </si>
  <si>
    <t>TEISSEDRE LUDIVINE</t>
  </si>
  <si>
    <t>BOUCABEILLE LAURA</t>
  </si>
  <si>
    <t>FROMENT MATHIEU</t>
  </si>
  <si>
    <t>NAVARLAS ALEX</t>
  </si>
  <si>
    <t>DOMINGUES THOMAS</t>
  </si>
  <si>
    <t>LEBBE EMMA</t>
  </si>
  <si>
    <t>JOURDAIN STÉPHANIE</t>
  </si>
  <si>
    <t>NAVARLAS ERIC</t>
  </si>
  <si>
    <t>QUERE SOPHIE</t>
  </si>
  <si>
    <t>HOUDET ROMUALD</t>
  </si>
  <si>
    <t>WILLE  JULIETTE</t>
  </si>
  <si>
    <t>GERME MAXIME</t>
  </si>
  <si>
    <t>LEMASSON JADE</t>
  </si>
  <si>
    <t>EYMERY ALEXIS</t>
  </si>
  <si>
    <t>QUINTART GAËL</t>
  </si>
  <si>
    <t>MONNIER BAPTISTE</t>
  </si>
  <si>
    <t>MARINELLI LAURIE</t>
  </si>
  <si>
    <t>NIETO SABINE</t>
  </si>
  <si>
    <t>TOST KARINE</t>
  </si>
  <si>
    <t>RENALDOS JEAN-CHARLES</t>
  </si>
  <si>
    <t>CANIPELLE EDWING</t>
  </si>
  <si>
    <t>DI GIACOMO ROMINA</t>
  </si>
  <si>
    <t>HERRERA VILCHEZ ERIKA</t>
  </si>
  <si>
    <t>GANGLOFF CLARISSE</t>
  </si>
  <si>
    <t>LEFEVRE HELENA</t>
  </si>
  <si>
    <t>PONS DÉBORAH</t>
  </si>
  <si>
    <t>NOVO FERNANDO</t>
  </si>
  <si>
    <t>FERMIGIER EDDY</t>
  </si>
  <si>
    <t>COUESTE RUDY</t>
  </si>
  <si>
    <t>VAL ADRIEN</t>
  </si>
  <si>
    <t>BARCELLONA GIANNI</t>
  </si>
  <si>
    <t>GAUDFROY JÉRÔME</t>
  </si>
  <si>
    <t>LASSALE ALEXANDRE</t>
  </si>
  <si>
    <t>WERLE-FABRE ROXANNE</t>
  </si>
  <si>
    <t>BOUCHARD ROMAIN</t>
  </si>
  <si>
    <t>CUENOT QUENTIN</t>
  </si>
  <si>
    <t>GRECO  WANDALINA</t>
  </si>
  <si>
    <t>REJAS GEOFFREY</t>
  </si>
  <si>
    <t>CEYSSON CLÉMENT</t>
  </si>
  <si>
    <t>TERREROS MATHILDE</t>
  </si>
  <si>
    <t>SICARD ALEXIS</t>
  </si>
  <si>
    <t>BENAIS LAËTITIA</t>
  </si>
  <si>
    <t>MOLES IRVIN</t>
  </si>
  <si>
    <t>CERVELLO TONY</t>
  </si>
  <si>
    <t>VINCENT FREDERIC</t>
  </si>
  <si>
    <t>ANTONY FLORIAN</t>
  </si>
  <si>
    <t>COUDRAY CYRIL</t>
  </si>
  <si>
    <t>GRASSET STÉPHANIE</t>
  </si>
  <si>
    <t>JOVENE NICOLAS</t>
  </si>
  <si>
    <t>SAINT-MAZARD DAVID</t>
  </si>
  <si>
    <t>SILVA DOS SANTOS GABRIEL</t>
  </si>
  <si>
    <t>SALVAT PATRICE</t>
  </si>
  <si>
    <t>DUCHENNE THOMAS</t>
  </si>
  <si>
    <t>KHAZNAGI NASSIM</t>
  </si>
  <si>
    <t>CAMPOREALE JEAN-PIERRE</t>
  </si>
  <si>
    <t>ANDRIEU PATRICK</t>
  </si>
  <si>
    <t>PICARD CLOTILDE</t>
  </si>
  <si>
    <t>LAMBERT SANDRA</t>
  </si>
  <si>
    <t>MONNIER JEAN-PHILIPPE</t>
  </si>
  <si>
    <t>DIVANACH GREGOR</t>
  </si>
  <si>
    <t>CUNNINGHAM LAURA</t>
  </si>
  <si>
    <t>STEFFAN THOMAS</t>
  </si>
  <si>
    <t>TORQUEBIAU ROMAIN</t>
  </si>
  <si>
    <t>MAZET LAURENT</t>
  </si>
  <si>
    <t>VIARD JÉRÉMY</t>
  </si>
  <si>
    <t>EL KACEMI HAJAR</t>
  </si>
  <si>
    <t>VALLESELLA ANAËLLE</t>
  </si>
  <si>
    <t>CARTELET STEVE</t>
  </si>
  <si>
    <t>CAYROL DIDIER</t>
  </si>
  <si>
    <t>SAULITIEN LAURA</t>
  </si>
  <si>
    <t>AMROUNI MASSIN</t>
  </si>
  <si>
    <t>GALLEZ AURÉLIEN</t>
  </si>
  <si>
    <t>FOUCHER-LEMAIRE CAMILLE</t>
  </si>
  <si>
    <t>BERNARD SACHA</t>
  </si>
  <si>
    <t>FONTANA LAETITIA</t>
  </si>
  <si>
    <t>LEBLANC ALEXANDRA</t>
  </si>
  <si>
    <t>SALGUERO KEVIN</t>
  </si>
  <si>
    <t>FERRY DANIELA</t>
  </si>
  <si>
    <t>SAREMEJEANNE VIRGINIE</t>
  </si>
  <si>
    <t>LACHHAB HANANE</t>
  </si>
  <si>
    <t>BELMONTE CATHERINE</t>
  </si>
  <si>
    <t>LE BILLAN ANTONY</t>
  </si>
  <si>
    <t>MZE ASSLAM</t>
  </si>
  <si>
    <t>BERDIX HERVÉ</t>
  </si>
  <si>
    <t>VANSON GRANDJACQUOT CHRISTOPHER</t>
  </si>
  <si>
    <t>BAZGHOUD MOHAMMED</t>
  </si>
  <si>
    <t>FRANCOIS FLORIANE</t>
  </si>
  <si>
    <t>COUPPEY WARREN</t>
  </si>
  <si>
    <t>KIEU STEVEN</t>
  </si>
  <si>
    <t>MAILHOL CHARLÈNE</t>
  </si>
  <si>
    <t>ANDRES PATRICK</t>
  </si>
  <si>
    <t>BOURGUET NIKLAS</t>
  </si>
  <si>
    <t>DESROCHES DAVID</t>
  </si>
  <si>
    <t>RONCHETTI THOMAS</t>
  </si>
  <si>
    <t>GUEMAS ALEXIS</t>
  </si>
  <si>
    <t>ARRIVE SIMON</t>
  </si>
  <si>
    <t>MARCHAL  REYNALD</t>
  </si>
  <si>
    <t>RALLO JONATHAN</t>
  </si>
  <si>
    <t>BEAUREPAIRE MICKAËL</t>
  </si>
  <si>
    <t>DELISLE YOANN</t>
  </si>
  <si>
    <t>HERY VICTOR</t>
  </si>
  <si>
    <t>PINTO ALEXIS</t>
  </si>
  <si>
    <t>BAVIERE CÉDRIC</t>
  </si>
  <si>
    <t>AVEROUS GRÉGORY</t>
  </si>
  <si>
    <t>MALICORNE  PATRICE</t>
  </si>
  <si>
    <t>BOURSELOT LUCAS</t>
  </si>
  <si>
    <t>GALIBERT DELPHINE</t>
  </si>
  <si>
    <t>CABIOCH CHRISTELLE</t>
  </si>
  <si>
    <t>GRAU ISABELLE</t>
  </si>
  <si>
    <t>WARRAND GUILLAUME</t>
  </si>
  <si>
    <t>DI DIO JÉRÔME</t>
  </si>
  <si>
    <t>LEGROS MAEVA</t>
  </si>
  <si>
    <t>GERFANION CASSANDRA</t>
  </si>
  <si>
    <t>BOTROS JOHN</t>
  </si>
  <si>
    <t>LECLERCQ MÉLANIE</t>
  </si>
  <si>
    <t>TIMMERMAN EMMANUEL</t>
  </si>
  <si>
    <t>BRICHEZ MARINE</t>
  </si>
  <si>
    <t>HEGO DEBORAH</t>
  </si>
  <si>
    <t>BOURGEOIS PHILIPPE</t>
  </si>
  <si>
    <t>KOLVER SEMANUR</t>
  </si>
  <si>
    <t>SPETTOLI TRISTAN</t>
  </si>
  <si>
    <t>MACEDO GALVAO DA CRUZ JERRY JERRY</t>
  </si>
  <si>
    <t>MARTIN-GANS HUGO</t>
  </si>
  <si>
    <t>ROLAND MATHYS</t>
  </si>
  <si>
    <t>SEIRA ANTHONY</t>
  </si>
  <si>
    <t>GRANDET BENOIT</t>
  </si>
  <si>
    <t>BOSSALINI DOMINIQUE</t>
  </si>
  <si>
    <t>DELOZIER NICOLAS</t>
  </si>
  <si>
    <t>MARMIER ANTHONY</t>
  </si>
  <si>
    <t>GUESDON MATHIEU</t>
  </si>
  <si>
    <t>TESSARO FRANCK</t>
  </si>
  <si>
    <t>LACROIX CLAIRE</t>
  </si>
  <si>
    <t>LECLERCQ SYLVAIN</t>
  </si>
  <si>
    <t>ZARIOH KHADIJA</t>
  </si>
  <si>
    <t>POTEL GRÉGORY</t>
  </si>
  <si>
    <t>CORCOY  ELODIE</t>
  </si>
  <si>
    <t>LOUKILI HAJAR</t>
  </si>
  <si>
    <t>MOUCHON GRÉGORY</t>
  </si>
  <si>
    <t>PARTHENAY MICKAËL</t>
  </si>
  <si>
    <t>THEVENIN KELLY</t>
  </si>
  <si>
    <t>LEROY KURT</t>
  </si>
  <si>
    <t>GARCIA GUILIANE</t>
  </si>
  <si>
    <t>SANCHEZ-TARANCHON  LISA</t>
  </si>
  <si>
    <t>DELAPIERRE ROMÉO</t>
  </si>
  <si>
    <t>CHAUVIN  MARINE</t>
  </si>
  <si>
    <t>LETORT LENNY</t>
  </si>
  <si>
    <t>SPILMONT KILLIAN</t>
  </si>
  <si>
    <t>BOYADJOGLOU ELOISE</t>
  </si>
  <si>
    <t>FREROTE JULIEN</t>
  </si>
  <si>
    <t>FREBOURG STANYSLAS</t>
  </si>
  <si>
    <t>PETIT NICOLAS</t>
  </si>
  <si>
    <t>BADDI BADRDINE</t>
  </si>
  <si>
    <t>DOBRIN YOHAN</t>
  </si>
  <si>
    <t>MERCHIER EMILIE</t>
  </si>
  <si>
    <t>ESSAMA OWONO RODRIGUE</t>
  </si>
  <si>
    <t>GAUBE ALYZÉE</t>
  </si>
  <si>
    <t>BARROIS DAMIEN</t>
  </si>
  <si>
    <t>COTTET CARRY</t>
  </si>
  <si>
    <t>DRUETTA ARNAUD</t>
  </si>
  <si>
    <t>GARCIA MARIE</t>
  </si>
  <si>
    <t>MARTIN ELISABETH</t>
  </si>
  <si>
    <t>SENOQ NATHAN</t>
  </si>
  <si>
    <t>CAILLAUX ALEXANDRE</t>
  </si>
  <si>
    <t>MORIN SANDRINE</t>
  </si>
  <si>
    <t>MOREIRA CARLOS</t>
  </si>
  <si>
    <t>TAILLIEU ANTHONY</t>
  </si>
  <si>
    <t>VENIAT CHRISTOPHE</t>
  </si>
  <si>
    <t>JEHANNE SALOMÉ</t>
  </si>
  <si>
    <t>CANTOURNET CORALIE</t>
  </si>
  <si>
    <t>FERRO DAMIAN ANDRÈS</t>
  </si>
  <si>
    <t>AYLIES JÉRÔME</t>
  </si>
  <si>
    <t>SCHERBAUM RÉMY</t>
  </si>
  <si>
    <t>DURAND AURORE</t>
  </si>
  <si>
    <t>GANCEL LÉO</t>
  </si>
  <si>
    <t>ISMEURT JORDAN</t>
  </si>
  <si>
    <t>KAMIERZAC DAËGAN</t>
  </si>
  <si>
    <t>FERRE ILLONA</t>
  </si>
  <si>
    <t>LACOUX THÉO</t>
  </si>
  <si>
    <t>FERREIRA SWAN</t>
  </si>
  <si>
    <t>BENOIT JULES</t>
  </si>
  <si>
    <t>ENNASSIRI LAHNINI YUSRA</t>
  </si>
  <si>
    <t>EL BOUZEKRAOUI HALA</t>
  </si>
  <si>
    <t>PEREZ ROMAIN</t>
  </si>
  <si>
    <t>SERRE LAURINE</t>
  </si>
  <si>
    <t>ROLAND BRYAN</t>
  </si>
  <si>
    <t>BROUTIN ANTHONY</t>
  </si>
  <si>
    <t>KALAI MEJDI</t>
  </si>
  <si>
    <t>SILVESTRE MICKAEL</t>
  </si>
  <si>
    <t>DOUJON ROMAIN</t>
  </si>
  <si>
    <t>GYSS LÉNA</t>
  </si>
  <si>
    <t>PUGET SÉBASTIEN</t>
  </si>
  <si>
    <t>RIVIERE SÉBASTIEN</t>
  </si>
  <si>
    <t>BERCKMOES MAXIME</t>
  </si>
  <si>
    <t>CASANOVA DAMIAN</t>
  </si>
  <si>
    <t>BACON CASSANDRE</t>
  </si>
  <si>
    <t>SILOBRE MAEVA</t>
  </si>
  <si>
    <t>ARTHUS AMANDINE</t>
  </si>
  <si>
    <t>GABILLEAU ADRIEN</t>
  </si>
  <si>
    <t>DUPIN FRANCK</t>
  </si>
  <si>
    <t>KOURDI MOURJANE</t>
  </si>
  <si>
    <t>MORIAME PIERRE</t>
  </si>
  <si>
    <t>DESERT NICOLAS</t>
  </si>
  <si>
    <t>EL MAAROUFI SOFIANE</t>
  </si>
  <si>
    <t>FROMENTAL PAUL</t>
  </si>
  <si>
    <t>TAUZIAS AYMERIC</t>
  </si>
  <si>
    <t>VILALTA VINCENT</t>
  </si>
  <si>
    <t>JACQUOT ARMAND</t>
  </si>
  <si>
    <t>MOREAU LISA</t>
  </si>
  <si>
    <t>SOULE JUSTIN</t>
  </si>
  <si>
    <t>SILOBRE GUILLAUME</t>
  </si>
  <si>
    <t>DE BERNARDO NATHAN</t>
  </si>
  <si>
    <t>CHENET DORIAN</t>
  </si>
  <si>
    <t>MOLLARD ELLIAN</t>
  </si>
  <si>
    <t>BOUVET MATHILDE</t>
  </si>
  <si>
    <t>GEOFFROY LUCAS</t>
  </si>
  <si>
    <t>MOYA TRUJILLO DANIEL</t>
  </si>
  <si>
    <t>PANFILI JÉRÉMIE</t>
  </si>
  <si>
    <t>MONTET NATHAN</t>
  </si>
  <si>
    <t>DELALEUX FRÉDÉRIC</t>
  </si>
  <si>
    <t>MOUILLIERE BENJAMIN</t>
  </si>
  <si>
    <t>PENARGUEAR ERWAN</t>
  </si>
  <si>
    <t>SAUNIER FLORIE</t>
  </si>
  <si>
    <t>DANY CHRISTOPHE</t>
  </si>
  <si>
    <t>FERNANDES CRISTAO SAMUEL</t>
  </si>
  <si>
    <t>MAGET FLORIAN</t>
  </si>
  <si>
    <t>MASSE CÉMENCE</t>
  </si>
  <si>
    <t>BERTHAULT THOMAS</t>
  </si>
  <si>
    <t>DELPONT STÉPHANE</t>
  </si>
  <si>
    <t>GARCIA LUISA</t>
  </si>
  <si>
    <t>WRZYSZCZ MICHAEL</t>
  </si>
  <si>
    <t>TIR NOUR</t>
  </si>
  <si>
    <t>MASSE  CLÉMENCE</t>
  </si>
  <si>
    <t>FRIBOULET ALAIN</t>
  </si>
  <si>
    <t>VIDAL EMMANUEL</t>
  </si>
  <si>
    <t xml:space="preserve">CORNELOUP LOUIS </t>
  </si>
  <si>
    <t>SEBAOUN RAPHAËL</t>
  </si>
  <si>
    <t>BLANQUART CHLOÉ</t>
  </si>
  <si>
    <t>MARTIN STÉPHANE</t>
  </si>
  <si>
    <t>LABAT AMÉLIE</t>
  </si>
  <si>
    <t>LESUEUR NATAHLIE</t>
  </si>
  <si>
    <t>NUTTIN CLAIRE</t>
  </si>
  <si>
    <t>DESPLACES FABIENNE</t>
  </si>
  <si>
    <t>MORAT FLEURINE</t>
  </si>
  <si>
    <t>ZOUAQ MOUNIR</t>
  </si>
  <si>
    <t>RICHARD BRANDON</t>
  </si>
  <si>
    <t>BRISSON XAVIER</t>
  </si>
  <si>
    <t>DEMBELE ERIC</t>
  </si>
  <si>
    <t>ROSSI GAEL</t>
  </si>
  <si>
    <t>DEBOURG RICHARD</t>
  </si>
  <si>
    <t>ODDI NATHALIE</t>
  </si>
  <si>
    <t>PAIN RÉMI</t>
  </si>
  <si>
    <t>ARBABZADEH ALEXIS</t>
  </si>
  <si>
    <t>HOH GAEL</t>
  </si>
  <si>
    <t>LACOUME FRÉDÉRIC</t>
  </si>
  <si>
    <t>KESKAS IMMAD</t>
  </si>
  <si>
    <t>VANNIER  YANN</t>
  </si>
  <si>
    <t>GUILLIER CHRISTOPHE</t>
  </si>
  <si>
    <t>GAVEAU LÉO</t>
  </si>
  <si>
    <t>GARCIA LISE</t>
  </si>
  <si>
    <t>ZANONI EMMANUEL</t>
  </si>
  <si>
    <t>NOM PRENOM</t>
  </si>
  <si>
    <t>DATE 1</t>
  </si>
  <si>
    <t>DATE 4</t>
  </si>
  <si>
    <t>DATE 5</t>
  </si>
  <si>
    <t>NOM / PRÉNOM *:</t>
  </si>
  <si>
    <t xml:space="preserve">AVANCE SUR FRAIS A DÉDUIRE =&gt; </t>
  </si>
  <si>
    <t>BILLETS D'AVION/BAGAGE</t>
  </si>
  <si>
    <t>NOMBRE DE KM RÉALISÉS</t>
  </si>
  <si>
    <t>PÉAGE</t>
  </si>
  <si>
    <t>IMPUTATION DU DÉPLACEMENT*</t>
  </si>
  <si>
    <t>ACHAT MATÉRIEL ÉVÈNEMENT</t>
  </si>
  <si>
    <t>NET À REMBOURSER AU COLLABORATEUR =&gt;</t>
  </si>
  <si>
    <t>SI frais kilométriques, trajet effectué</t>
  </si>
  <si>
    <t>N° ODM (RH)</t>
  </si>
  <si>
    <t>TOTAL À REMBOURSER PAR JOUR</t>
  </si>
  <si>
    <t>DATE 2</t>
  </si>
  <si>
    <t xml:space="preserve">AUTRES DÉPENSES </t>
  </si>
  <si>
    <t>ROUSSEL ANAIS</t>
  </si>
  <si>
    <t>REGNIER ANAiS</t>
  </si>
  <si>
    <t>ESCAMEZ  LOiC</t>
  </si>
  <si>
    <t>Ne rien saisir dans cette colonne</t>
  </si>
  <si>
    <t>DATE 3</t>
  </si>
  <si>
    <t>SITE SERVICE *</t>
  </si>
  <si>
    <t>Cpt COMPTABLE</t>
  </si>
  <si>
    <t>NATURE</t>
  </si>
  <si>
    <t>Fournir carte grise correspondante</t>
  </si>
  <si>
    <t>Une NDF par mois max</t>
  </si>
  <si>
    <r>
      <t xml:space="preserve">INVITATION RESTAURANT </t>
    </r>
    <r>
      <rPr>
        <sz val="12"/>
        <color rgb="FFC00000"/>
        <rFont val="Arial"/>
        <family val="2"/>
      </rPr>
      <t>(validation N+1)</t>
    </r>
  </si>
  <si>
    <r>
      <t xml:space="preserve">ABONNEMENT </t>
    </r>
    <r>
      <rPr>
        <sz val="12"/>
        <color rgb="FFC00000"/>
        <rFont val="Arial"/>
        <family val="2"/>
      </rPr>
      <t>(validation N+1)</t>
    </r>
  </si>
  <si>
    <t>DEPLACEMENTS ET  FRAIS ANNEXES PAR DATE D'EVENEMENT</t>
  </si>
  <si>
    <t>AUTRES (préciser en commentaires)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</si>
</sst>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&quot;€&quot;#,##0.00_);[Red]\(&quot;€&quot;#,##0.00\)"/>
    <numFmt numFmtId="165" formatCode="&quot;$&quot;#,##0;\-&quot;$&quot;#,##0"/>
    <numFmt numFmtId="166" formatCode="_-* #,##0\ &quot;F&quot;_-;\-* #,##0\ &quot;F&quot;_-;_-* &quot;-&quot;\ &quot;F&quot;_-;_-@_-"/>
    <numFmt numFmtId="167" formatCode="_-* #,##0.00\ &quot;F&quot;_-;\-* #,##0.00\ &quot;F&quot;_-;_-* &quot;-&quot;??\ &quot;F&quot;_-;_-@_-"/>
    <numFmt numFmtId="168" formatCode="#,##0.0"/>
    <numFmt numFmtId="169" formatCode="_-&quot;$&quot;* #,##0.0_-;\-&quot;$&quot;* #,##0.0_-;_-&quot;$&quot;* &quot;-&quot;??_-;_-@_-"/>
    <numFmt numFmtId="170" formatCode="###0.0_);[Red]\(###0.0\)"/>
    <numFmt numFmtId="171" formatCode="_ * #,##0.00_)\ [$€-1]_ ;_ * \(#,##0.00\)\ [$€-1]_ ;_ * &quot;-&quot;??_)\ [$€-1]_ "/>
    <numFmt numFmtId="172" formatCode="#,##0.00\ &quot;€&quot;"/>
  </numFmts>
  <fonts count="5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Times New Roman"/>
      <family val="1"/>
    </font>
    <font>
      <sz val="10"/>
      <name val="MS Sans Serif"/>
    </font>
    <font>
      <sz val="8"/>
      <name val="Arial"/>
      <family val="2"/>
    </font>
    <font>
      <b/>
      <sz val="12"/>
      <name val="Arial"/>
      <family val="2"/>
    </font>
    <font>
      <sz val="10"/>
      <name val="Tms Rmn"/>
    </font>
    <font>
      <b/>
      <sz val="10"/>
      <name val="MS Sans Serif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i/>
      <sz val="10"/>
      <name val="Arial"/>
      <family val="2"/>
    </font>
    <font>
      <i/>
      <sz val="12"/>
      <name val="Arial"/>
      <family val="2"/>
    </font>
    <font>
      <b/>
      <sz val="26"/>
      <color theme="0"/>
      <name val="Arial"/>
      <family val="2"/>
    </font>
    <font>
      <b/>
      <i/>
      <sz val="10"/>
      <color rgb="FFE8E0C8"/>
      <name val="Arial"/>
      <family val="2"/>
    </font>
    <font>
      <b/>
      <sz val="10"/>
      <color rgb="FFE8E0C8"/>
      <name val="Arial"/>
      <family val="2"/>
    </font>
    <font>
      <sz val="10"/>
      <color rgb="FFE8E0C8"/>
      <name val="Arial"/>
      <family val="2"/>
    </font>
    <font>
      <b/>
      <i/>
      <sz val="10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0"/>
      <color theme="7" tint="-0.499984740745262"/>
      <name val="Arial"/>
      <family val="2"/>
    </font>
    <font>
      <b/>
      <sz val="10"/>
      <color rgb="FF1A2F4A"/>
      <name val="Arial"/>
      <family val="2"/>
    </font>
    <font>
      <b/>
      <i/>
      <sz val="10"/>
      <color theme="5"/>
      <name val="Arial"/>
      <family val="2"/>
    </font>
    <font>
      <b/>
      <i/>
      <sz val="10"/>
      <color rgb="FF1A2F4A"/>
      <name val="Arial"/>
      <family val="2"/>
    </font>
    <font>
      <b/>
      <sz val="12"/>
      <color theme="0"/>
      <name val="Arial"/>
      <family val="2"/>
    </font>
    <font>
      <sz val="12"/>
      <color rgb="FFC00000"/>
      <name val="Arial"/>
      <family val="2"/>
    </font>
    <font>
      <i/>
      <sz val="12"/>
      <color rgb="FFC00000"/>
      <name val="Arial"/>
      <family val="2"/>
    </font>
    <font>
      <b/>
      <sz val="12"/>
      <color rgb="FFC00000"/>
      <name val="Arial"/>
      <family val="2"/>
    </font>
    <font>
      <b/>
      <sz val="12"/>
      <color theme="7" tint="-0.499984740745262"/>
      <name val="Arial"/>
      <family val="2"/>
    </font>
    <font>
      <b/>
      <i/>
      <sz val="12"/>
      <color theme="7" tint="-0.499984740745262"/>
      <name val="Arial"/>
      <family val="2"/>
    </font>
    <font>
      <b/>
      <sz val="10"/>
      <color theme="8" tint="-0.499984740745262"/>
      <name val="Arial"/>
      <family val="2"/>
    </font>
    <font>
      <sz val="10"/>
      <color rgb="FFC00000"/>
      <name val="Arial"/>
      <family val="2"/>
    </font>
    <font>
      <b/>
      <sz val="10"/>
      <color rgb="FF1C1C1C"/>
      <name val="Arial"/>
      <family val="2"/>
    </font>
    <font>
      <b/>
      <sz val="10"/>
      <color rgb="FFC00000"/>
      <name val="Arial"/>
      <family val="2"/>
    </font>
    <font>
      <b/>
      <i/>
      <sz val="10"/>
      <color rgb="FFC00000"/>
      <name val="Arial"/>
      <family val="2"/>
    </font>
    <font>
      <b/>
      <sz val="12"/>
      <color theme="1" tint="0.249977111117893"/>
      <name val="Arial"/>
      <family val="2"/>
    </font>
    <font>
      <sz val="12"/>
      <color theme="1" tint="0.249977111117893"/>
      <name val="Arial"/>
      <family val="2"/>
    </font>
    <font>
      <b/>
      <sz val="12"/>
      <color theme="1" tint="0.34998626667073579"/>
      <name val="Arial"/>
      <family val="2"/>
    </font>
    <font>
      <b/>
      <sz val="14"/>
      <color theme="0"/>
      <name val="Arial"/>
      <family val="2"/>
    </font>
    <font>
      <b/>
      <i/>
      <sz val="14"/>
      <name val="Arial"/>
      <family val="2"/>
    </font>
    <font>
      <sz val="8"/>
      <color rgb="FFC00000"/>
      <name val="Arial"/>
      <family val="2"/>
    </font>
    <font>
      <b/>
      <sz val="14"/>
      <color theme="8" tint="-0.499984740745262"/>
      <name val="Arial"/>
      <family val="2"/>
    </font>
    <font>
      <b/>
      <sz val="12"/>
      <color rgb="FF1A2F4A"/>
      <name val="Arial"/>
      <family val="2"/>
    </font>
    <font>
      <sz val="16"/>
      <color rgb="FF00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  <bgColor rgb="FFEBF4FC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249977111117893"/>
        <bgColor rgb="FF003366"/>
      </patternFill>
    </fill>
    <fill>
      <patternFill patternType="solid">
        <fgColor rgb="FFF5E48F"/>
        <bgColor indexed="64"/>
      </patternFill>
    </fill>
    <fill>
      <patternFill patternType="solid">
        <fgColor rgb="FFE8E0C8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E7E2D5"/>
        <bgColor indexed="64"/>
      </patternFill>
    </fill>
    <fill>
      <patternFill patternType="solid">
        <fgColor rgb="FFDDD0AD"/>
        <bgColor indexed="64"/>
      </patternFill>
    </fill>
    <fill>
      <patternFill patternType="solid">
        <fgColor rgb="FFDDD0AD"/>
        <bgColor rgb="FFE5D48A"/>
      </patternFill>
    </fill>
    <fill>
      <patternFill patternType="solid">
        <fgColor rgb="FFDDD0AD"/>
        <bgColor rgb="FFF7F7F5"/>
      </patternFill>
    </fill>
    <fill>
      <patternFill patternType="solid">
        <fgColor theme="0"/>
        <bgColor indexed="64"/>
      </patternFill>
    </fill>
    <fill>
      <patternFill patternType="solid">
        <fgColor theme="7" tint="-0.499984740745262"/>
        <bgColor indexed="64"/>
      </patternFill>
    </fill>
  </fills>
  <borders count="13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ABABAB"/>
      </left>
      <right/>
      <top style="thin">
        <color rgb="FFABABAB"/>
      </top>
      <bottom style="dashed">
        <color rgb="FFABABAB"/>
      </bottom>
      <diagonal/>
    </border>
    <border>
      <left/>
      <right/>
      <top style="thin">
        <color rgb="FFABABAB"/>
      </top>
      <bottom style="dashed">
        <color rgb="FFABABAB"/>
      </bottom>
      <diagonal/>
    </border>
    <border>
      <left/>
      <right style="thin">
        <color rgb="FFABABAB"/>
      </right>
      <top style="thin">
        <color rgb="FFABABAB"/>
      </top>
      <bottom style="dashed">
        <color rgb="FFABABAB"/>
      </bottom>
      <diagonal/>
    </border>
    <border>
      <left style="thin">
        <color rgb="FFABABAB"/>
      </left>
      <right/>
      <top style="dashed">
        <color rgb="FFABABAB"/>
      </top>
      <bottom style="dashed">
        <color rgb="FFABABAB"/>
      </bottom>
      <diagonal/>
    </border>
    <border>
      <left/>
      <right/>
      <top style="dashed">
        <color rgb="FFABABAB"/>
      </top>
      <bottom style="dashed">
        <color rgb="FFABABAB"/>
      </bottom>
      <diagonal/>
    </border>
    <border>
      <left/>
      <right style="thin">
        <color rgb="FFABABAB"/>
      </right>
      <top style="dashed">
        <color rgb="FFABABAB"/>
      </top>
      <bottom style="dashed">
        <color rgb="FFABABAB"/>
      </bottom>
      <diagonal/>
    </border>
    <border>
      <left style="thin">
        <color rgb="FFABABAB"/>
      </left>
      <right/>
      <top style="dashed">
        <color rgb="FFABABAB"/>
      </top>
      <bottom style="thin">
        <color rgb="FFABABAB"/>
      </bottom>
      <diagonal/>
    </border>
    <border>
      <left/>
      <right/>
      <top style="dashed">
        <color rgb="FFABABAB"/>
      </top>
      <bottom style="thin">
        <color rgb="FFABABAB"/>
      </bottom>
      <diagonal/>
    </border>
    <border>
      <left/>
      <right style="thin">
        <color rgb="FFABABAB"/>
      </right>
      <top style="dashed">
        <color rgb="FFABABAB"/>
      </top>
      <bottom style="thin">
        <color rgb="FFABABAB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 style="thin">
        <color rgb="FFABABAB"/>
      </left>
      <right/>
      <top style="medium">
        <color theme="1" tint="0.499984740745262"/>
      </top>
      <bottom/>
      <diagonal/>
    </border>
    <border>
      <left style="thin">
        <color rgb="FFABABAB"/>
      </left>
      <right style="thin">
        <color rgb="FFABABAB"/>
      </right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 style="thin">
        <color rgb="FFABABAB"/>
      </top>
      <bottom style="dashed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dashed">
        <color rgb="FFABABAB"/>
      </bottom>
      <diagonal/>
    </border>
    <border>
      <left/>
      <right style="medium">
        <color theme="1" tint="0.499984740745262"/>
      </right>
      <top/>
      <bottom style="dashed">
        <color rgb="FFABABAB"/>
      </bottom>
      <diagonal/>
    </border>
    <border>
      <left style="medium">
        <color theme="1" tint="0.499984740745262"/>
      </left>
      <right/>
      <top style="dashed">
        <color rgb="FFABABAB"/>
      </top>
      <bottom style="dashed">
        <color rgb="FFABABAB"/>
      </bottom>
      <diagonal/>
    </border>
    <border>
      <left style="thin">
        <color rgb="FFABABAB"/>
      </left>
      <right style="thin">
        <color rgb="FFABABAB"/>
      </right>
      <top style="dashed">
        <color rgb="FFABABAB"/>
      </top>
      <bottom style="dashed">
        <color rgb="FFABABAB"/>
      </bottom>
      <diagonal/>
    </border>
    <border>
      <left/>
      <right style="medium">
        <color theme="1" tint="0.499984740745262"/>
      </right>
      <top style="dashed">
        <color rgb="FFABABAB"/>
      </top>
      <bottom style="dashed">
        <color rgb="FFABABAB"/>
      </bottom>
      <diagonal/>
    </border>
    <border>
      <left style="medium">
        <color theme="1" tint="0.499984740745262"/>
      </left>
      <right/>
      <top style="dashed">
        <color rgb="FFABABAB"/>
      </top>
      <bottom style="medium">
        <color theme="1" tint="0.499984740745262"/>
      </bottom>
      <diagonal/>
    </border>
    <border>
      <left style="thin">
        <color rgb="FFABABAB"/>
      </left>
      <right/>
      <top style="dashed">
        <color rgb="FFABABAB"/>
      </top>
      <bottom style="medium">
        <color theme="1" tint="0.499984740745262"/>
      </bottom>
      <diagonal/>
    </border>
    <border>
      <left style="thin">
        <color rgb="FFABABAB"/>
      </left>
      <right style="thin">
        <color rgb="FFABABAB"/>
      </right>
      <top style="dashed">
        <color rgb="FFABABAB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dashed">
        <color rgb="FFABABAB"/>
      </top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dashed">
        <color rgb="FFABABAB"/>
      </bottom>
      <diagonal/>
    </border>
    <border>
      <left style="thin">
        <color rgb="FFABABAB"/>
      </left>
      <right/>
      <top style="medium">
        <color theme="1" tint="0.499984740745262"/>
      </top>
      <bottom style="dashed">
        <color rgb="FFABABAB"/>
      </bottom>
      <diagonal/>
    </border>
    <border>
      <left style="thin">
        <color rgb="FFABABAB"/>
      </left>
      <right style="thin">
        <color rgb="FFABABAB"/>
      </right>
      <top style="medium">
        <color theme="1" tint="0.499984740745262"/>
      </top>
      <bottom style="dashed">
        <color rgb="FFABABAB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dashed">
        <color rgb="FFABABAB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 style="thin">
        <color rgb="FFABABAB"/>
      </left>
      <right/>
      <top style="medium">
        <color theme="1" tint="0.499984740745262"/>
      </top>
      <bottom style="medium">
        <color theme="1" tint="0.499984740745262"/>
      </bottom>
      <diagonal/>
    </border>
    <border>
      <left style="thin">
        <color rgb="FFABABAB"/>
      </left>
      <right style="thin">
        <color rgb="FFABABAB"/>
      </right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auto="1"/>
      </left>
      <right style="thin">
        <color theme="1" tint="0.499984740745262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theme="1" tint="0.499984740745262"/>
      </right>
      <top style="thin">
        <color auto="1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auto="1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 tint="-0.34998626667073579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auto="1"/>
      </top>
      <bottom style="thin">
        <color theme="0" tint="-0.24994659260841701"/>
      </bottom>
      <diagonal/>
    </border>
    <border>
      <left style="thin">
        <color theme="1" tint="0.499984740745262"/>
      </left>
      <right style="thin">
        <color indexed="64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theme="1" tint="0.499984740745262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 tint="0.499984740745262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1" tint="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/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theme="0" tint="-0.2499465926084170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4659260841701"/>
      </top>
      <bottom/>
      <diagonal/>
    </border>
    <border>
      <left style="thin">
        <color theme="0" tint="-0.34998626667073579"/>
      </left>
      <right style="thin">
        <color auto="1"/>
      </right>
      <top style="thin">
        <color theme="0" tint="-0.24994659260841701"/>
      </top>
      <bottom/>
      <diagonal/>
    </border>
    <border>
      <left style="thin">
        <color auto="1"/>
      </left>
      <right style="thin">
        <color theme="1" tint="0.499984740745262"/>
      </right>
      <top style="thin">
        <color theme="0" tint="-0.24994659260841701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 tint="-0.24994659260841701"/>
      </top>
      <bottom/>
      <diagonal/>
    </border>
    <border>
      <left/>
      <right style="thin">
        <color auto="1"/>
      </right>
      <top style="thin">
        <color theme="0" tint="-0.34998626667073579"/>
      </top>
      <bottom/>
      <diagonal/>
    </border>
    <border>
      <left/>
      <right style="thin">
        <color theme="1" tint="0.499984740745262"/>
      </right>
      <top style="thin">
        <color auto="1"/>
      </top>
      <bottom style="thin">
        <color theme="0" tint="-0.34998626667073579"/>
      </bottom>
      <diagonal/>
    </border>
    <border>
      <left/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1" tint="0.499984740745262"/>
      </right>
      <top style="thin">
        <color theme="0" tint="-0.34998626667073579"/>
      </top>
      <bottom/>
      <diagonal/>
    </border>
    <border>
      <left/>
      <right style="thin">
        <color theme="1" tint="0.499984740745262"/>
      </right>
      <top style="thin">
        <color theme="0" tint="-0.34998626667073579"/>
      </top>
      <bottom style="thin">
        <color indexed="64"/>
      </bottom>
      <diagonal/>
    </border>
    <border>
      <left/>
      <right style="thin">
        <color theme="1" tint="0.499984740745262"/>
      </right>
      <top style="thin">
        <color auto="1"/>
      </top>
      <bottom style="thin">
        <color theme="0" tint="-0.24994659260841701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 tint="0.499984740745262"/>
      </right>
      <top style="thin">
        <color theme="0" tint="-0.24994659260841701"/>
      </top>
      <bottom/>
      <diagonal/>
    </border>
    <border>
      <left/>
      <right style="thin">
        <color theme="1" tint="0.499984740745262"/>
      </right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 style="thin">
        <color auto="1"/>
      </left>
      <right style="thin">
        <color theme="1" tint="0.499984740745262"/>
      </right>
      <top style="thin">
        <color theme="0" tint="-0.499984740745262"/>
      </top>
      <bottom style="thin">
        <color indexed="64"/>
      </bottom>
      <diagonal/>
    </border>
    <border>
      <left/>
      <right style="thin">
        <color theme="1" tint="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1" tint="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auto="1"/>
      </left>
      <right style="thin">
        <color theme="1" tint="0.499984740745262"/>
      </right>
      <top style="thin">
        <color auto="1"/>
      </top>
      <bottom/>
      <diagonal/>
    </border>
    <border>
      <left/>
      <right style="thin">
        <color theme="1" tint="0.499984740745262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34998626667073579"/>
      </right>
      <top/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auto="1"/>
      </right>
      <top/>
      <bottom style="thin">
        <color theme="0" tint="-0.24994659260841701"/>
      </bottom>
      <diagonal/>
    </border>
    <border>
      <left style="thin">
        <color auto="1"/>
      </left>
      <right style="thin">
        <color theme="1" tint="0.499984740745262"/>
      </right>
      <top/>
      <bottom style="thin">
        <color theme="0" tint="-0.2499465926084170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0" tint="-0.24994659260841701"/>
      </bottom>
      <diagonal/>
    </border>
    <border>
      <left style="thin">
        <color auto="1"/>
      </left>
      <right style="thin">
        <color theme="1" tint="0.499984740745262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1" tint="0.499984740745262"/>
      </right>
      <top/>
      <bottom style="thin">
        <color indexed="64"/>
      </bottom>
      <diagonal/>
    </border>
    <border>
      <left/>
      <right style="thin">
        <color theme="0" tint="-0.34998626667073579"/>
      </right>
      <top/>
      <bottom style="thin">
        <color theme="0" tint="-0.24994659260841701"/>
      </bottom>
      <diagonal/>
    </border>
    <border>
      <left/>
      <right style="thin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34998626667073579"/>
      </right>
      <top style="thin">
        <color theme="0" tint="-0.2499465926084170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rgb="FFCEBC88"/>
      </bottom>
      <diagonal/>
    </border>
    <border>
      <left/>
      <right/>
      <top style="thin">
        <color indexed="64"/>
      </top>
      <bottom style="thick">
        <color rgb="FFCEBC88"/>
      </bottom>
      <diagonal/>
    </border>
    <border>
      <left style="thin">
        <color indexed="64"/>
      </left>
      <right/>
      <top style="thin">
        <color indexed="64"/>
      </top>
      <bottom style="thick">
        <color rgb="FFCEBC88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/>
      <diagonal/>
    </border>
    <border>
      <left/>
      <right style="thin">
        <color theme="0" tint="-0.34998626667073579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auto="1"/>
      </right>
      <top style="thin">
        <color indexed="64"/>
      </top>
      <bottom/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1" tint="0.499984740745262"/>
      </left>
      <right style="thin">
        <color auto="1"/>
      </right>
      <top style="thin">
        <color auto="1"/>
      </top>
      <bottom style="medium">
        <color theme="2" tint="-9.9948118533890809E-2"/>
      </bottom>
      <diagonal/>
    </border>
    <border>
      <left/>
      <right style="thin">
        <color theme="1" tint="0.499984740745262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auto="1"/>
      </right>
      <top style="thin">
        <color theme="0" tint="-0.24994659260841701"/>
      </top>
      <bottom/>
      <diagonal/>
    </border>
    <border>
      <left style="thin">
        <color auto="1"/>
      </left>
      <right/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/>
      <top style="thin">
        <color theme="0" tint="-0.34998626667073579"/>
      </top>
      <bottom/>
      <diagonal/>
    </border>
    <border>
      <left style="thin">
        <color auto="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auto="1"/>
      </left>
      <right/>
      <top style="medium">
        <color theme="2" tint="-9.9948118533890809E-2"/>
      </top>
      <bottom/>
      <diagonal/>
    </border>
    <border>
      <left/>
      <right/>
      <top style="medium">
        <color theme="2" tint="-9.9948118533890809E-2"/>
      </top>
      <bottom/>
      <diagonal/>
    </border>
    <border>
      <left/>
      <right style="thin">
        <color indexed="64"/>
      </right>
      <top style="medium">
        <color theme="2" tint="-9.9948118533890809E-2"/>
      </top>
      <bottom/>
      <diagonal/>
    </border>
    <border>
      <left style="thin">
        <color auto="1"/>
      </left>
      <right style="thin">
        <color theme="1" tint="0.499984740745262"/>
      </right>
      <top style="medium">
        <color theme="2" tint="-9.9948118533890809E-2"/>
      </top>
      <bottom/>
      <diagonal/>
    </border>
    <border>
      <left/>
      <right style="thin">
        <color theme="1" tint="0.499984740745262"/>
      </right>
      <top style="medium">
        <color theme="2" tint="-9.9948118533890809E-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2" tint="-9.9948118533890809E-2"/>
      </top>
      <bottom/>
      <diagonal/>
    </border>
    <border>
      <left style="thin">
        <color indexed="64"/>
      </left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auto="1"/>
      </right>
      <top/>
      <bottom style="thin">
        <color indexed="64"/>
      </bottom>
      <diagonal/>
    </border>
    <border>
      <left style="medium">
        <color theme="7" tint="-0.499984740745262"/>
      </left>
      <right/>
      <top style="medium">
        <color theme="7" tint="-0.499984740745262"/>
      </top>
      <bottom style="medium">
        <color theme="7" tint="-0.499984740745262"/>
      </bottom>
      <diagonal/>
    </border>
    <border>
      <left/>
      <right style="medium">
        <color theme="7" tint="-0.499984740745262"/>
      </right>
      <top style="medium">
        <color theme="7" tint="-0.499984740745262"/>
      </top>
      <bottom style="medium">
        <color theme="7" tint="-0.499984740745262"/>
      </bottom>
      <diagonal/>
    </border>
    <border>
      <left style="thin">
        <color theme="1" tint="0.499984740745262"/>
      </left>
      <right style="thin">
        <color theme="1"/>
      </right>
      <top style="medium">
        <color theme="2" tint="-9.9948118533890809E-2"/>
      </top>
      <bottom style="thin">
        <color auto="1"/>
      </bottom>
      <diagonal/>
    </border>
    <border>
      <left style="thin">
        <color theme="1" tint="0.499984740745262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theme="0" tint="-0.24994659260841701"/>
      </bottom>
      <diagonal/>
    </border>
  </borders>
  <cellStyleXfs count="20">
    <xf numFmtId="0" fontId="0" fillId="0" borderId="0"/>
    <xf numFmtId="0" fontId="4" fillId="0" borderId="0">
      <alignment horizontal="center" wrapText="1"/>
      <protection locked="0"/>
    </xf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166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38" fontId="6" fillId="2" borderId="0" applyNumberFormat="0" applyBorder="0" applyAlignment="0" applyProtection="0"/>
    <xf numFmtId="0" fontId="7" fillId="0" borderId="1" applyNumberFormat="0" applyAlignment="0" applyProtection="0">
      <alignment horizontal="left" vertical="center"/>
    </xf>
    <xf numFmtId="0" fontId="7" fillId="0" borderId="2">
      <alignment horizontal="left" vertical="center"/>
    </xf>
    <xf numFmtId="10" fontId="6" fillId="3" borderId="3" applyNumberFormat="0" applyBorder="0" applyAlignment="0" applyProtection="0"/>
    <xf numFmtId="170" fontId="3" fillId="0" borderId="0"/>
    <xf numFmtId="169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4" fontId="4" fillId="0" borderId="0">
      <alignment horizontal="center" wrapText="1"/>
      <protection locked="0"/>
    </xf>
    <xf numFmtId="10" fontId="3" fillId="0" borderId="0" applyFont="0" applyFill="0" applyBorder="0" applyAlignment="0" applyProtection="0"/>
    <xf numFmtId="165" fontId="8" fillId="0" borderId="0"/>
    <xf numFmtId="0" fontId="9" fillId="0" borderId="4">
      <alignment horizontal="center"/>
    </xf>
    <xf numFmtId="0" fontId="1" fillId="0" borderId="0"/>
    <xf numFmtId="9" fontId="1" fillId="0" borderId="0" applyFont="0" applyFill="0" applyBorder="0" applyAlignment="0" applyProtection="0"/>
  </cellStyleXfs>
  <cellXfs count="335">
    <xf numFmtId="0" fontId="0" fillId="0" borderId="0" xfId="0"/>
    <xf numFmtId="0" fontId="10" fillId="0" borderId="0" xfId="0" applyFont="1"/>
    <xf numFmtId="0" fontId="11" fillId="5" borderId="0" xfId="0" applyFont="1" applyFill="1" applyAlignment="1">
      <alignment horizontal="centerContinuous"/>
    </xf>
    <xf numFmtId="0" fontId="10" fillId="0" borderId="0" xfId="0" applyFont="1" applyFill="1"/>
    <xf numFmtId="0" fontId="11" fillId="0" borderId="0" xfId="0" applyFont="1" applyFill="1" applyAlignment="1">
      <alignment horizontal="center"/>
    </xf>
    <xf numFmtId="0" fontId="10" fillId="4" borderId="14" xfId="0" applyFont="1" applyFill="1" applyBorder="1"/>
    <xf numFmtId="0" fontId="12" fillId="0" borderId="15" xfId="0" applyFont="1" applyFill="1" applyBorder="1" applyAlignment="1">
      <alignment horizontal="left"/>
    </xf>
    <xf numFmtId="0" fontId="12" fillId="0" borderId="16" xfId="0" applyFont="1" applyFill="1" applyBorder="1" applyAlignment="1">
      <alignment horizontal="left"/>
    </xf>
    <xf numFmtId="0" fontId="11" fillId="0" borderId="0" xfId="0" applyFont="1" applyFill="1" applyAlignment="1">
      <alignment horizontal="left"/>
    </xf>
    <xf numFmtId="0" fontId="10" fillId="6" borderId="17" xfId="0" applyFont="1" applyFill="1" applyBorder="1"/>
    <xf numFmtId="0" fontId="12" fillId="0" borderId="18" xfId="0" applyFont="1" applyBorder="1" applyAlignment="1">
      <alignment horizontal="left"/>
    </xf>
    <xf numFmtId="0" fontId="12" fillId="0" borderId="19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7" borderId="20" xfId="0" applyFont="1" applyFill="1" applyBorder="1"/>
    <xf numFmtId="0" fontId="12" fillId="0" borderId="21" xfId="0" applyFont="1" applyBorder="1" applyAlignment="1">
      <alignment horizontal="left" vertical="top"/>
    </xf>
    <xf numFmtId="0" fontId="12" fillId="0" borderId="22" xfId="0" applyFont="1" applyBorder="1" applyAlignment="1">
      <alignment horizontal="left" vertical="top"/>
    </xf>
    <xf numFmtId="0" fontId="10" fillId="0" borderId="0" xfId="0" applyFont="1" applyFill="1" applyBorder="1"/>
    <xf numFmtId="0" fontId="12" fillId="0" borderId="0" xfId="0" applyFont="1" applyFill="1" applyBorder="1" applyAlignment="1">
      <alignment horizontal="left"/>
    </xf>
    <xf numFmtId="0" fontId="13" fillId="5" borderId="23" xfId="0" applyFont="1" applyFill="1" applyBorder="1"/>
    <xf numFmtId="0" fontId="13" fillId="5" borderId="24" xfId="0" applyFont="1" applyFill="1" applyBorder="1"/>
    <xf numFmtId="0" fontId="13" fillId="5" borderId="25" xfId="0" applyFont="1" applyFill="1" applyBorder="1"/>
    <xf numFmtId="0" fontId="13" fillId="5" borderId="26" xfId="0" applyFont="1" applyFill="1" applyBorder="1"/>
    <xf numFmtId="0" fontId="10" fillId="0" borderId="27" xfId="0" applyFont="1" applyBorder="1"/>
    <xf numFmtId="0" fontId="10" fillId="0" borderId="14" xfId="0" applyFont="1" applyBorder="1"/>
    <xf numFmtId="0" fontId="10" fillId="0" borderId="28" xfId="0" applyFont="1" applyBorder="1"/>
    <xf numFmtId="0" fontId="10" fillId="0" borderId="29" xfId="0" applyFont="1" applyBorder="1"/>
    <xf numFmtId="0" fontId="10" fillId="0" borderId="30" xfId="0" applyFont="1" applyBorder="1"/>
    <xf numFmtId="0" fontId="10" fillId="0" borderId="17" xfId="0" applyFont="1" applyBorder="1"/>
    <xf numFmtId="0" fontId="10" fillId="4" borderId="17" xfId="0" applyFont="1" applyFill="1" applyBorder="1"/>
    <xf numFmtId="0" fontId="10" fillId="4" borderId="31" xfId="0" applyFont="1" applyFill="1" applyBorder="1"/>
    <xf numFmtId="0" fontId="10" fillId="4" borderId="32" xfId="0" applyFont="1" applyFill="1" applyBorder="1"/>
    <xf numFmtId="0" fontId="10" fillId="0" borderId="31" xfId="0" applyFont="1" applyBorder="1"/>
    <xf numFmtId="0" fontId="10" fillId="0" borderId="32" xfId="0" applyFont="1" applyBorder="1"/>
    <xf numFmtId="0" fontId="10" fillId="0" borderId="33" xfId="0" applyFont="1" applyBorder="1"/>
    <xf numFmtId="0" fontId="10" fillId="0" borderId="34" xfId="0" applyFont="1" applyBorder="1"/>
    <xf numFmtId="0" fontId="10" fillId="6" borderId="34" xfId="0" applyFont="1" applyFill="1" applyBorder="1"/>
    <xf numFmtId="0" fontId="10" fillId="6" borderId="35" xfId="0" applyFont="1" applyFill="1" applyBorder="1"/>
    <xf numFmtId="0" fontId="10" fillId="6" borderId="36" xfId="0" applyFont="1" applyFill="1" applyBorder="1"/>
    <xf numFmtId="0" fontId="10" fillId="0" borderId="37" xfId="0" applyFont="1" applyFill="1" applyBorder="1"/>
    <xf numFmtId="0" fontId="10" fillId="0" borderId="38" xfId="0" applyFont="1" applyFill="1" applyBorder="1"/>
    <xf numFmtId="0" fontId="10" fillId="8" borderId="38" xfId="0" applyFont="1" applyFill="1" applyBorder="1"/>
    <xf numFmtId="0" fontId="10" fillId="8" borderId="39" xfId="0" applyFont="1" applyFill="1" applyBorder="1"/>
    <xf numFmtId="0" fontId="10" fillId="8" borderId="40" xfId="0" applyFont="1" applyFill="1" applyBorder="1"/>
    <xf numFmtId="0" fontId="10" fillId="0" borderId="33" xfId="0" applyFont="1" applyFill="1" applyBorder="1"/>
    <xf numFmtId="0" fontId="10" fillId="0" borderId="34" xfId="0" applyFont="1" applyFill="1" applyBorder="1"/>
    <xf numFmtId="0" fontId="10" fillId="8" borderId="34" xfId="0" applyFont="1" applyFill="1" applyBorder="1"/>
    <xf numFmtId="0" fontId="10" fillId="8" borderId="35" xfId="0" applyFont="1" applyFill="1" applyBorder="1"/>
    <xf numFmtId="0" fontId="10" fillId="8" borderId="36" xfId="0" applyFont="1" applyFill="1" applyBorder="1"/>
    <xf numFmtId="0" fontId="10" fillId="0" borderId="30" xfId="0" applyFont="1" applyFill="1" applyBorder="1"/>
    <xf numFmtId="0" fontId="10" fillId="0" borderId="17" xfId="0" applyFont="1" applyFill="1" applyBorder="1"/>
    <xf numFmtId="0" fontId="10" fillId="8" borderId="17" xfId="0" applyFont="1" applyFill="1" applyBorder="1"/>
    <xf numFmtId="0" fontId="10" fillId="8" borderId="31" xfId="0" applyFont="1" applyFill="1" applyBorder="1"/>
    <xf numFmtId="0" fontId="10" fillId="8" borderId="32" xfId="0" applyFont="1" applyFill="1" applyBorder="1"/>
    <xf numFmtId="0" fontId="10" fillId="0" borderId="41" xfId="0" applyFont="1" applyFill="1" applyBorder="1"/>
    <xf numFmtId="0" fontId="10" fillId="0" borderId="42" xfId="0" applyFont="1" applyFill="1" applyBorder="1"/>
    <xf numFmtId="0" fontId="10" fillId="8" borderId="42" xfId="0" applyFont="1" applyFill="1" applyBorder="1"/>
    <xf numFmtId="0" fontId="10" fillId="8" borderId="43" xfId="0" applyFont="1" applyFill="1" applyBorder="1"/>
    <xf numFmtId="0" fontId="10" fillId="8" borderId="44" xfId="0" applyFont="1" applyFill="1" applyBorder="1"/>
    <xf numFmtId="0" fontId="3" fillId="0" borderId="0" xfId="0" applyFont="1"/>
    <xf numFmtId="0" fontId="2" fillId="0" borderId="14" xfId="0" applyFont="1" applyBorder="1"/>
    <xf numFmtId="0" fontId="2" fillId="4" borderId="17" xfId="0" applyFont="1" applyFill="1" applyBorder="1"/>
    <xf numFmtId="0" fontId="2" fillId="0" borderId="17" xfId="0" applyFont="1" applyBorder="1"/>
    <xf numFmtId="0" fontId="2" fillId="6" borderId="34" xfId="0" applyFont="1" applyFill="1" applyBorder="1"/>
    <xf numFmtId="0" fontId="2" fillId="8" borderId="38" xfId="0" applyFont="1" applyFill="1" applyBorder="1"/>
    <xf numFmtId="0" fontId="2" fillId="8" borderId="34" xfId="0" applyFont="1" applyFill="1" applyBorder="1"/>
    <xf numFmtId="0" fontId="2" fillId="8" borderId="17" xfId="0" applyFont="1" applyFill="1" applyBorder="1"/>
    <xf numFmtId="0" fontId="2" fillId="8" borderId="42" xfId="0" applyFont="1" applyFill="1" applyBorder="1"/>
    <xf numFmtId="0" fontId="13" fillId="5" borderId="0" xfId="0" applyFont="1" applyFill="1" applyBorder="1"/>
    <xf numFmtId="0" fontId="14" fillId="5" borderId="0" xfId="0" applyFont="1" applyFill="1" applyAlignment="1">
      <alignment horizontal="centerContinuous"/>
    </xf>
    <xf numFmtId="0" fontId="0" fillId="5" borderId="0" xfId="0" applyFill="1" applyAlignment="1">
      <alignment horizontal="centerContinuous"/>
    </xf>
    <xf numFmtId="0" fontId="3" fillId="0" borderId="0" xfId="18" applyFont="1" applyFill="1" applyBorder="1"/>
    <xf numFmtId="0" fontId="17" fillId="0" borderId="0" xfId="18" applyFont="1" applyFill="1" applyBorder="1"/>
    <xf numFmtId="0" fontId="20" fillId="17" borderId="106" xfId="18" quotePrefix="1" applyFont="1" applyFill="1" applyBorder="1" applyAlignment="1" applyProtection="1">
      <alignment vertical="center"/>
      <protection locked="0"/>
    </xf>
    <xf numFmtId="0" fontId="21" fillId="17" borderId="106" xfId="18" applyFont="1" applyFill="1" applyBorder="1" applyAlignment="1" applyProtection="1">
      <alignment vertical="center"/>
      <protection locked="0"/>
    </xf>
    <xf numFmtId="0" fontId="20" fillId="18" borderId="106" xfId="18" applyFont="1" applyFill="1" applyBorder="1" applyAlignment="1">
      <alignment horizontal="center" vertical="center"/>
    </xf>
    <xf numFmtId="0" fontId="21" fillId="18" borderId="106" xfId="18" applyFont="1" applyFill="1" applyBorder="1" applyAlignment="1">
      <alignment vertical="center"/>
    </xf>
    <xf numFmtId="0" fontId="20" fillId="17" borderId="106" xfId="18" applyFont="1" applyFill="1" applyBorder="1" applyAlignment="1" applyProtection="1">
      <alignment vertical="center"/>
      <protection locked="0"/>
    </xf>
    <xf numFmtId="14" fontId="21" fillId="18" borderId="106" xfId="18" applyNumberFormat="1" applyFont="1" applyFill="1" applyBorder="1" applyAlignment="1">
      <alignment horizontal="center" vertical="center"/>
    </xf>
    <xf numFmtId="172" fontId="17" fillId="0" borderId="0" xfId="18" applyNumberFormat="1" applyFont="1" applyFill="1" applyBorder="1"/>
    <xf numFmtId="0" fontId="15" fillId="0" borderId="0" xfId="18" applyFont="1" applyFill="1" applyBorder="1"/>
    <xf numFmtId="0" fontId="15" fillId="0" borderId="0" xfId="18" applyFont="1" applyFill="1" applyBorder="1" applyAlignment="1">
      <alignment vertical="center"/>
    </xf>
    <xf numFmtId="0" fontId="24" fillId="0" borderId="6" xfId="18" applyFont="1" applyFill="1" applyBorder="1" applyAlignment="1">
      <alignment horizontal="left" vertical="center"/>
    </xf>
    <xf numFmtId="0" fontId="15" fillId="4" borderId="108" xfId="18" applyFont="1" applyFill="1" applyBorder="1" applyAlignment="1">
      <alignment horizontal="center" vertical="center" wrapText="1"/>
    </xf>
    <xf numFmtId="0" fontId="15" fillId="4" borderId="109" xfId="18" applyFont="1" applyFill="1" applyBorder="1" applyAlignment="1">
      <alignment horizontal="center" vertical="center" wrapText="1"/>
    </xf>
    <xf numFmtId="0" fontId="15" fillId="4" borderId="110" xfId="18" applyFont="1" applyFill="1" applyBorder="1" applyAlignment="1">
      <alignment horizontal="center" vertical="center"/>
    </xf>
    <xf numFmtId="0" fontId="15" fillId="4" borderId="111" xfId="18" applyFont="1" applyFill="1" applyBorder="1" applyAlignment="1">
      <alignment horizontal="center" vertical="center" wrapText="1"/>
    </xf>
    <xf numFmtId="14" fontId="15" fillId="4" borderId="90" xfId="18" applyNumberFormat="1" applyFont="1" applyFill="1" applyBorder="1" applyAlignment="1">
      <alignment horizontal="center" vertical="center"/>
    </xf>
    <xf numFmtId="14" fontId="15" fillId="4" borderId="45" xfId="18" applyNumberFormat="1" applyFont="1" applyFill="1" applyBorder="1" applyAlignment="1">
      <alignment horizontal="center" vertical="center"/>
    </xf>
    <xf numFmtId="14" fontId="15" fillId="4" borderId="91" xfId="18" applyNumberFormat="1" applyFont="1" applyFill="1" applyBorder="1" applyAlignment="1">
      <alignment horizontal="center" vertical="center"/>
    </xf>
    <xf numFmtId="0" fontId="3" fillId="0" borderId="0" xfId="18" applyFont="1" applyFill="1" applyBorder="1" applyAlignment="1">
      <alignment wrapText="1"/>
    </xf>
    <xf numFmtId="0" fontId="3" fillId="12" borderId="0" xfId="18" applyFont="1" applyFill="1" applyBorder="1"/>
    <xf numFmtId="0" fontId="15" fillId="0" borderId="5" xfId="18" applyFont="1" applyFill="1" applyBorder="1" applyAlignment="1">
      <alignment horizontal="center" vertical="center"/>
    </xf>
    <xf numFmtId="0" fontId="15" fillId="0" borderId="2" xfId="18" applyFont="1" applyFill="1" applyBorder="1" applyAlignment="1">
      <alignment horizontal="center" vertical="center"/>
    </xf>
    <xf numFmtId="0" fontId="15" fillId="0" borderId="8" xfId="18" applyFont="1" applyFill="1" applyBorder="1" applyAlignment="1">
      <alignment horizontal="center" vertical="center"/>
    </xf>
    <xf numFmtId="172" fontId="3" fillId="9" borderId="54" xfId="18" applyNumberFormat="1" applyFont="1" applyFill="1" applyBorder="1"/>
    <xf numFmtId="172" fontId="3" fillId="9" borderId="58" xfId="18" applyNumberFormat="1" applyFont="1" applyFill="1" applyBorder="1"/>
    <xf numFmtId="172" fontId="3" fillId="4" borderId="58" xfId="18" applyNumberFormat="1" applyFont="1" applyFill="1" applyBorder="1"/>
    <xf numFmtId="0" fontId="24" fillId="0" borderId="2" xfId="18" applyFont="1" applyFill="1" applyBorder="1" applyAlignment="1">
      <alignment horizontal="centerContinuous" vertical="center"/>
    </xf>
    <xf numFmtId="0" fontId="15" fillId="0" borderId="9" xfId="18" applyFont="1" applyFill="1" applyBorder="1"/>
    <xf numFmtId="0" fontId="15" fillId="10" borderId="8" xfId="18" applyFont="1" applyFill="1" applyBorder="1"/>
    <xf numFmtId="0" fontId="3" fillId="10" borderId="2" xfId="18" applyFont="1" applyFill="1" applyBorder="1"/>
    <xf numFmtId="0" fontId="27" fillId="11" borderId="2" xfId="18" applyFont="1" applyFill="1" applyBorder="1" applyAlignment="1" applyProtection="1">
      <alignment vertical="top"/>
      <protection locked="0"/>
    </xf>
    <xf numFmtId="0" fontId="27" fillId="11" borderId="8" xfId="18" applyFont="1" applyFill="1" applyBorder="1" applyAlignment="1" applyProtection="1">
      <alignment vertical="top"/>
      <protection locked="0"/>
    </xf>
    <xf numFmtId="0" fontId="28" fillId="11" borderId="13" xfId="18" applyFont="1" applyFill="1" applyBorder="1" applyAlignment="1" applyProtection="1">
      <alignment horizontal="center" vertical="top" wrapText="1"/>
      <protection locked="0"/>
    </xf>
    <xf numFmtId="0" fontId="27" fillId="11" borderId="2" xfId="18" applyFont="1" applyFill="1" applyBorder="1" applyAlignment="1" applyProtection="1">
      <alignment vertical="top" wrapText="1"/>
      <protection locked="0"/>
    </xf>
    <xf numFmtId="0" fontId="27" fillId="11" borderId="8" xfId="18" applyFont="1" applyFill="1" applyBorder="1" applyAlignment="1" applyProtection="1">
      <alignment vertical="top" wrapText="1"/>
      <protection locked="0"/>
    </xf>
    <xf numFmtId="0" fontId="16" fillId="0" borderId="0" xfId="18" applyFont="1" applyFill="1" applyBorder="1"/>
    <xf numFmtId="0" fontId="7" fillId="0" borderId="46" xfId="18" applyFont="1" applyFill="1" applyBorder="1" applyAlignment="1">
      <alignment horizontal="left" vertical="center" wrapText="1"/>
    </xf>
    <xf numFmtId="0" fontId="7" fillId="0" borderId="46" xfId="18" applyFont="1" applyFill="1" applyBorder="1" applyAlignment="1">
      <alignment horizontal="center" vertical="center" wrapText="1"/>
    </xf>
    <xf numFmtId="0" fontId="7" fillId="0" borderId="65" xfId="18" applyFont="1" applyFill="1" applyBorder="1" applyAlignment="1">
      <alignment horizontal="center" vertical="center" wrapText="1"/>
    </xf>
    <xf numFmtId="49" fontId="16" fillId="13" borderId="74" xfId="18" applyNumberFormat="1" applyFont="1" applyFill="1" applyBorder="1" applyAlignment="1">
      <alignment horizontal="center" vertical="center" wrapText="1"/>
    </xf>
    <xf numFmtId="0" fontId="16" fillId="13" borderId="74" xfId="18" applyNumberFormat="1" applyFont="1" applyFill="1" applyBorder="1" applyAlignment="1">
      <alignment horizontal="center" vertical="center" wrapText="1"/>
    </xf>
    <xf numFmtId="49" fontId="16" fillId="13" borderId="48" xfId="18" applyNumberFormat="1" applyFont="1" applyFill="1" applyBorder="1" applyAlignment="1">
      <alignment horizontal="center" vertical="center" wrapText="1"/>
    </xf>
    <xf numFmtId="0" fontId="16" fillId="0" borderId="0" xfId="18" applyFont="1" applyFill="1" applyBorder="1" applyAlignment="1">
      <alignment wrapText="1"/>
    </xf>
    <xf numFmtId="0" fontId="7" fillId="0" borderId="49" xfId="18" applyFont="1" applyFill="1" applyBorder="1" applyAlignment="1">
      <alignment horizontal="left" vertical="center" wrapText="1"/>
    </xf>
    <xf numFmtId="0" fontId="7" fillId="0" borderId="49" xfId="18" applyFont="1" applyFill="1" applyBorder="1" applyAlignment="1">
      <alignment horizontal="centerContinuous" vertical="center" wrapText="1"/>
    </xf>
    <xf numFmtId="0" fontId="7" fillId="0" borderId="66" xfId="18" applyFont="1" applyFill="1" applyBorder="1" applyAlignment="1">
      <alignment horizontal="centerContinuous" vertical="center" wrapText="1"/>
    </xf>
    <xf numFmtId="0" fontId="16" fillId="13" borderId="75" xfId="18" applyNumberFormat="1" applyFont="1" applyFill="1" applyBorder="1" applyAlignment="1">
      <alignment horizontal="center" vertical="center"/>
    </xf>
    <xf numFmtId="49" fontId="16" fillId="13" borderId="51" xfId="18" applyNumberFormat="1" applyFont="1" applyFill="1" applyBorder="1" applyAlignment="1">
      <alignment horizontal="center" vertical="center"/>
    </xf>
    <xf numFmtId="172" fontId="7" fillId="0" borderId="59" xfId="18" applyNumberFormat="1" applyFont="1" applyFill="1" applyBorder="1" applyProtection="1">
      <protection locked="0"/>
    </xf>
    <xf numFmtId="49" fontId="16" fillId="13" borderId="75" xfId="18" applyNumberFormat="1" applyFont="1" applyFill="1" applyBorder="1" applyAlignment="1">
      <alignment horizontal="center" vertical="center"/>
    </xf>
    <xf numFmtId="0" fontId="7" fillId="0" borderId="60" xfId="18" applyFont="1" applyFill="1" applyBorder="1" applyAlignment="1">
      <alignment horizontal="left" vertical="center" wrapText="1"/>
    </xf>
    <xf numFmtId="0" fontId="7" fillId="0" borderId="60" xfId="18" applyFont="1" applyFill="1" applyBorder="1" applyAlignment="1">
      <alignment horizontal="centerContinuous" vertical="center" wrapText="1"/>
    </xf>
    <xf numFmtId="0" fontId="7" fillId="0" borderId="73" xfId="18" applyFont="1" applyFill="1" applyBorder="1" applyAlignment="1">
      <alignment horizontal="centerContinuous" vertical="center" wrapText="1"/>
    </xf>
    <xf numFmtId="49" fontId="16" fillId="13" borderId="76" xfId="18" applyNumberFormat="1" applyFont="1" applyFill="1" applyBorder="1" applyAlignment="1">
      <alignment horizontal="center" vertical="center"/>
    </xf>
    <xf numFmtId="0" fontId="16" fillId="13" borderId="76" xfId="18" applyNumberFormat="1" applyFont="1" applyFill="1" applyBorder="1" applyAlignment="1">
      <alignment horizontal="center" vertical="center"/>
    </xf>
    <xf numFmtId="49" fontId="16" fillId="13" borderId="61" xfId="18" applyNumberFormat="1" applyFont="1" applyFill="1" applyBorder="1" applyAlignment="1">
      <alignment horizontal="center" vertical="center"/>
    </xf>
    <xf numFmtId="0" fontId="7" fillId="0" borderId="60" xfId="18" applyFont="1" applyFill="1" applyBorder="1" applyAlignment="1">
      <alignment horizontal="left" vertical="center"/>
    </xf>
    <xf numFmtId="0" fontId="7" fillId="0" borderId="60" xfId="18" applyFont="1" applyFill="1" applyBorder="1" applyAlignment="1">
      <alignment horizontal="centerContinuous" vertical="center"/>
    </xf>
    <xf numFmtId="0" fontId="7" fillId="0" borderId="73" xfId="18" applyFont="1" applyFill="1" applyBorder="1" applyAlignment="1">
      <alignment horizontal="centerContinuous" vertical="center"/>
    </xf>
    <xf numFmtId="172" fontId="7" fillId="0" borderId="71" xfId="18" applyNumberFormat="1" applyFont="1" applyFill="1" applyBorder="1" applyProtection="1">
      <protection locked="0"/>
    </xf>
    <xf numFmtId="49" fontId="16" fillId="13" borderId="77" xfId="18" applyNumberFormat="1" applyFont="1" applyFill="1" applyBorder="1" applyAlignment="1">
      <alignment horizontal="center" vertical="center"/>
    </xf>
    <xf numFmtId="49" fontId="16" fillId="13" borderId="52" xfId="18" applyNumberFormat="1" applyFont="1" applyFill="1" applyBorder="1" applyAlignment="1">
      <alignment horizontal="center" vertical="center"/>
    </xf>
    <xf numFmtId="49" fontId="16" fillId="13" borderId="99" xfId="18" applyNumberFormat="1" applyFont="1" applyFill="1" applyBorder="1" applyAlignment="1">
      <alignment horizontal="center" vertical="center"/>
    </xf>
    <xf numFmtId="0" fontId="7" fillId="4" borderId="8" xfId="18" applyFont="1" applyFill="1" applyBorder="1" applyAlignment="1">
      <alignment horizontal="center" vertical="center" wrapText="1"/>
    </xf>
    <xf numFmtId="0" fontId="16" fillId="0" borderId="93" xfId="18" applyFont="1" applyFill="1" applyBorder="1" applyAlignment="1">
      <alignment vertical="center"/>
    </xf>
    <xf numFmtId="0" fontId="16" fillId="0" borderId="100" xfId="18" applyFont="1" applyFill="1" applyBorder="1" applyAlignment="1">
      <alignment vertical="center"/>
    </xf>
    <xf numFmtId="0" fontId="16" fillId="0" borderId="94" xfId="18" applyFont="1" applyFill="1" applyBorder="1"/>
    <xf numFmtId="9" fontId="16" fillId="0" borderId="95" xfId="19" applyFont="1" applyFill="1" applyBorder="1"/>
    <xf numFmtId="2" fontId="7" fillId="0" borderId="96" xfId="18" applyNumberFormat="1" applyFont="1" applyFill="1" applyBorder="1" applyProtection="1">
      <protection locked="0"/>
    </xf>
    <xf numFmtId="172" fontId="16" fillId="13" borderId="81" xfId="18" applyNumberFormat="1" applyFont="1" applyFill="1" applyBorder="1"/>
    <xf numFmtId="164" fontId="16" fillId="13" borderId="97" xfId="18" applyNumberFormat="1" applyFont="1" applyFill="1" applyBorder="1"/>
    <xf numFmtId="164" fontId="16" fillId="13" borderId="53" xfId="18" applyNumberFormat="1" applyFont="1" applyFill="1" applyBorder="1"/>
    <xf numFmtId="0" fontId="16" fillId="0" borderId="62" xfId="18" applyFont="1" applyFill="1" applyBorder="1" applyAlignment="1">
      <alignment vertical="center"/>
    </xf>
    <xf numFmtId="0" fontId="16" fillId="0" borderId="101" xfId="18" applyFont="1" applyFill="1" applyBorder="1" applyAlignment="1">
      <alignment vertical="center"/>
    </xf>
    <xf numFmtId="0" fontId="16" fillId="0" borderId="63" xfId="18" applyFont="1" applyFill="1" applyBorder="1"/>
    <xf numFmtId="9" fontId="16" fillId="0" borderId="64" xfId="19" applyFont="1" applyFill="1" applyBorder="1"/>
    <xf numFmtId="172" fontId="16" fillId="13" borderId="79" xfId="18" applyNumberFormat="1" applyFont="1" applyFill="1" applyBorder="1"/>
    <xf numFmtId="172" fontId="16" fillId="13" borderId="57" xfId="18" applyNumberFormat="1" applyFont="1" applyFill="1" applyBorder="1"/>
    <xf numFmtId="0" fontId="16" fillId="0" borderId="68" xfId="18" applyFont="1" applyFill="1" applyBorder="1" applyAlignment="1">
      <alignment vertical="center"/>
    </xf>
    <xf numFmtId="0" fontId="16" fillId="0" borderId="102" xfId="18" applyFont="1" applyFill="1" applyBorder="1" applyAlignment="1">
      <alignment vertical="center"/>
    </xf>
    <xf numFmtId="0" fontId="16" fillId="0" borderId="69" xfId="18" applyFont="1" applyFill="1" applyBorder="1"/>
    <xf numFmtId="172" fontId="16" fillId="13" borderId="80" xfId="18" applyNumberFormat="1" applyFont="1" applyFill="1" applyBorder="1"/>
    <xf numFmtId="172" fontId="16" fillId="13" borderId="72" xfId="18" applyNumberFormat="1" applyFont="1" applyFill="1" applyBorder="1"/>
    <xf numFmtId="9" fontId="16" fillId="0" borderId="70" xfId="19" applyFont="1" applyFill="1" applyBorder="1"/>
    <xf numFmtId="0" fontId="16" fillId="4" borderId="68" xfId="18" applyFont="1" applyFill="1" applyBorder="1" applyAlignment="1">
      <alignment vertical="center"/>
    </xf>
    <xf numFmtId="0" fontId="16" fillId="4" borderId="102" xfId="18" applyFont="1" applyFill="1" applyBorder="1" applyAlignment="1">
      <alignment vertical="center"/>
    </xf>
    <xf numFmtId="0" fontId="16" fillId="4" borderId="69" xfId="18" applyFont="1" applyFill="1" applyBorder="1"/>
    <xf numFmtId="9" fontId="16" fillId="4" borderId="70" xfId="19" applyFont="1" applyFill="1" applyBorder="1"/>
    <xf numFmtId="49" fontId="7" fillId="4" borderId="71" xfId="18" applyNumberFormat="1" applyFont="1" applyFill="1" applyBorder="1" applyProtection="1">
      <protection locked="0"/>
    </xf>
    <xf numFmtId="49" fontId="18" fillId="4" borderId="80" xfId="18" applyNumberFormat="1" applyFont="1" applyFill="1" applyBorder="1"/>
    <xf numFmtId="49" fontId="16" fillId="4" borderId="80" xfId="18" applyNumberFormat="1" applyFont="1" applyFill="1" applyBorder="1"/>
    <xf numFmtId="49" fontId="16" fillId="4" borderId="72" xfId="18" applyNumberFormat="1" applyFont="1" applyFill="1" applyBorder="1"/>
    <xf numFmtId="0" fontId="16" fillId="4" borderId="83" xfId="18" applyFont="1" applyFill="1" applyBorder="1" applyAlignment="1">
      <alignment vertical="center"/>
    </xf>
    <xf numFmtId="0" fontId="7" fillId="0" borderId="113" xfId="18" applyFont="1" applyFill="1" applyBorder="1" applyAlignment="1">
      <alignment horizontal="left" vertical="center"/>
    </xf>
    <xf numFmtId="0" fontId="7" fillId="0" borderId="113" xfId="18" applyFont="1" applyFill="1" applyBorder="1" applyAlignment="1">
      <alignment horizontal="centerContinuous" vertical="center"/>
    </xf>
    <xf numFmtId="0" fontId="7" fillId="0" borderId="114" xfId="18" applyFont="1" applyFill="1" applyBorder="1" applyAlignment="1">
      <alignment horizontal="centerContinuous" vertical="center"/>
    </xf>
    <xf numFmtId="49" fontId="16" fillId="13" borderId="112" xfId="18" applyNumberFormat="1" applyFont="1" applyFill="1" applyBorder="1" applyAlignment="1">
      <alignment horizontal="center" vertical="center"/>
    </xf>
    <xf numFmtId="0" fontId="32" fillId="20" borderId="75" xfId="18" applyNumberFormat="1" applyFont="1" applyFill="1" applyBorder="1" applyAlignment="1">
      <alignment horizontal="center" vertical="center"/>
    </xf>
    <xf numFmtId="0" fontId="32" fillId="20" borderId="76" xfId="18" applyNumberFormat="1" applyFont="1" applyFill="1" applyBorder="1" applyAlignment="1">
      <alignment horizontal="center" vertical="center"/>
    </xf>
    <xf numFmtId="2" fontId="32" fillId="20" borderId="81" xfId="18" applyNumberFormat="1" applyFont="1" applyFill="1" applyBorder="1"/>
    <xf numFmtId="172" fontId="32" fillId="20" borderId="79" xfId="18" applyNumberFormat="1" applyFont="1" applyFill="1" applyBorder="1"/>
    <xf numFmtId="172" fontId="32" fillId="20" borderId="80" xfId="18" applyNumberFormat="1" applyFont="1" applyFill="1" applyBorder="1"/>
    <xf numFmtId="0" fontId="32" fillId="20" borderId="66" xfId="18" applyNumberFormat="1" applyFont="1" applyFill="1" applyBorder="1" applyAlignment="1">
      <alignment horizontal="center" vertical="center"/>
    </xf>
    <xf numFmtId="0" fontId="32" fillId="20" borderId="73" xfId="18" applyNumberFormat="1" applyFont="1" applyFill="1" applyBorder="1" applyAlignment="1">
      <alignment horizontal="center" vertical="center"/>
    </xf>
    <xf numFmtId="0" fontId="22" fillId="20" borderId="105" xfId="18" applyFont="1" applyFill="1" applyBorder="1"/>
    <xf numFmtId="14" fontId="21" fillId="20" borderId="105" xfId="18" applyNumberFormat="1" applyFont="1" applyFill="1" applyBorder="1" applyAlignment="1">
      <alignment horizontal="center" vertical="center"/>
    </xf>
    <xf numFmtId="0" fontId="15" fillId="4" borderId="2" xfId="18" applyFont="1" applyFill="1" applyBorder="1" applyAlignment="1">
      <alignment vertical="center"/>
    </xf>
    <xf numFmtId="0" fontId="15" fillId="4" borderId="8" xfId="18" applyFont="1" applyFill="1" applyBorder="1" applyAlignment="1">
      <alignment vertical="center"/>
    </xf>
    <xf numFmtId="14" fontId="15" fillId="0" borderId="90" xfId="18" applyNumberFormat="1" applyFont="1" applyFill="1" applyBorder="1" applyAlignment="1" applyProtection="1">
      <alignment horizontal="center" vertical="center"/>
      <protection locked="0"/>
    </xf>
    <xf numFmtId="0" fontId="15" fillId="0" borderId="2" xfId="18" applyFont="1" applyFill="1" applyBorder="1" applyAlignment="1">
      <alignment horizontal="centerContinuous" vertical="center"/>
    </xf>
    <xf numFmtId="172" fontId="15" fillId="0" borderId="9" xfId="18" applyNumberFormat="1" applyFont="1" applyFill="1" applyBorder="1"/>
    <xf numFmtId="172" fontId="15" fillId="0" borderId="83" xfId="18" applyNumberFormat="1" applyFont="1" applyFill="1" applyBorder="1"/>
    <xf numFmtId="0" fontId="27" fillId="11" borderId="3" xfId="18" applyFont="1" applyFill="1" applyBorder="1" applyAlignment="1" applyProtection="1">
      <alignment horizontal="center" vertical="top" wrapText="1"/>
      <protection locked="0"/>
    </xf>
    <xf numFmtId="14" fontId="15" fillId="0" borderId="12" xfId="18" applyNumberFormat="1" applyFont="1" applyFill="1" applyBorder="1" applyAlignment="1" applyProtection="1">
      <alignment horizontal="center" vertical="center"/>
      <protection locked="0"/>
    </xf>
    <xf numFmtId="14" fontId="15" fillId="4" borderId="116" xfId="18" applyNumberFormat="1" applyFont="1" applyFill="1" applyBorder="1" applyAlignment="1">
      <alignment horizontal="center" vertical="center"/>
    </xf>
    <xf numFmtId="0" fontId="15" fillId="21" borderId="9" xfId="18" applyFont="1" applyFill="1" applyBorder="1" applyAlignment="1">
      <alignment horizontal="centerContinuous" vertical="center"/>
    </xf>
    <xf numFmtId="0" fontId="15" fillId="21" borderId="2" xfId="18" applyFont="1" applyFill="1" applyBorder="1" applyAlignment="1">
      <alignment horizontal="centerContinuous" vertical="center"/>
    </xf>
    <xf numFmtId="0" fontId="23" fillId="21" borderId="2" xfId="18" applyFont="1" applyFill="1" applyBorder="1" applyAlignment="1">
      <alignment horizontal="centerContinuous" vertical="center"/>
    </xf>
    <xf numFmtId="14" fontId="40" fillId="21" borderId="115" xfId="18" applyNumberFormat="1" applyFont="1" applyFill="1" applyBorder="1" applyAlignment="1">
      <alignment horizontal="center" vertical="center"/>
    </xf>
    <xf numFmtId="0" fontId="3" fillId="0" borderId="10" xfId="18" applyFont="1" applyFill="1" applyBorder="1"/>
    <xf numFmtId="0" fontId="3" fillId="0" borderId="5" xfId="18" applyFont="1" applyFill="1" applyBorder="1"/>
    <xf numFmtId="0" fontId="3" fillId="0" borderId="0" xfId="18" applyFont="1" applyFill="1" applyBorder="1" applyAlignment="1">
      <alignment vertical="center"/>
    </xf>
    <xf numFmtId="172" fontId="3" fillId="4" borderId="85" xfId="18" applyNumberFormat="1" applyFont="1" applyFill="1" applyBorder="1" applyAlignment="1">
      <alignment vertical="center"/>
    </xf>
    <xf numFmtId="172" fontId="3" fillId="4" borderId="89" xfId="18" applyNumberFormat="1" applyFont="1" applyFill="1" applyBorder="1" applyAlignment="1">
      <alignment vertical="center"/>
    </xf>
    <xf numFmtId="0" fontId="16" fillId="0" borderId="0" xfId="18" applyFont="1" applyFill="1" applyBorder="1" applyAlignment="1">
      <alignment horizontal="center" vertical="center"/>
    </xf>
    <xf numFmtId="0" fontId="34" fillId="11" borderId="10" xfId="18" applyFont="1" applyFill="1" applyBorder="1" applyAlignment="1">
      <alignment horizontal="center" vertical="center"/>
    </xf>
    <xf numFmtId="0" fontId="34" fillId="11" borderId="11" xfId="18" applyFont="1" applyFill="1" applyBorder="1" applyAlignment="1">
      <alignment horizontal="center" vertical="center"/>
    </xf>
    <xf numFmtId="0" fontId="34" fillId="11" borderId="2" xfId="18" applyFont="1" applyFill="1" applyBorder="1" applyAlignment="1">
      <alignment horizontal="center" vertical="center"/>
    </xf>
    <xf numFmtId="0" fontId="35" fillId="11" borderId="9" xfId="18" applyFont="1" applyFill="1" applyBorder="1" applyAlignment="1">
      <alignment horizontal="center" vertical="center"/>
    </xf>
    <xf numFmtId="0" fontId="34" fillId="11" borderId="8" xfId="18" applyFont="1" applyFill="1" applyBorder="1" applyAlignment="1">
      <alignment horizontal="center" vertical="center"/>
    </xf>
    <xf numFmtId="0" fontId="35" fillId="11" borderId="8" xfId="18" applyFont="1" applyFill="1" applyBorder="1" applyAlignment="1">
      <alignment horizontal="center" vertical="center"/>
    </xf>
    <xf numFmtId="0" fontId="15" fillId="9" borderId="9" xfId="18" applyFont="1" applyFill="1" applyBorder="1" applyAlignment="1">
      <alignment horizontal="centerContinuous" vertical="center"/>
    </xf>
    <xf numFmtId="0" fontId="15" fillId="9" borderId="2" xfId="18" applyFont="1" applyFill="1" applyBorder="1" applyAlignment="1">
      <alignment horizontal="centerContinuous" vertical="center"/>
    </xf>
    <xf numFmtId="0" fontId="23" fillId="9" borderId="2" xfId="18" applyFont="1" applyFill="1" applyBorder="1" applyAlignment="1">
      <alignment horizontal="centerContinuous" vertical="center"/>
    </xf>
    <xf numFmtId="0" fontId="24" fillId="21" borderId="2" xfId="18" applyFont="1" applyFill="1" applyBorder="1" applyAlignment="1">
      <alignment horizontal="centerContinuous" vertical="center"/>
    </xf>
    <xf numFmtId="0" fontId="24" fillId="0" borderId="0" xfId="18" applyFont="1" applyFill="1" applyBorder="1" applyAlignment="1" applyProtection="1">
      <alignment horizontal="left" vertical="center"/>
      <protection locked="0"/>
    </xf>
    <xf numFmtId="0" fontId="15" fillId="4" borderId="123" xfId="18" applyFont="1" applyFill="1" applyBorder="1" applyAlignment="1">
      <alignment horizontal="center" vertical="center" wrapText="1"/>
    </xf>
    <xf numFmtId="0" fontId="15" fillId="4" borderId="124" xfId="18" applyFont="1" applyFill="1" applyBorder="1" applyAlignment="1">
      <alignment horizontal="center" vertical="center" wrapText="1"/>
    </xf>
    <xf numFmtId="0" fontId="15" fillId="4" borderId="124" xfId="18" applyFont="1" applyFill="1" applyBorder="1" applyAlignment="1">
      <alignment horizontal="center" vertical="center"/>
    </xf>
    <xf numFmtId="0" fontId="15" fillId="4" borderId="125" xfId="18" applyFont="1" applyFill="1" applyBorder="1" applyAlignment="1">
      <alignment horizontal="center" vertical="center" wrapText="1"/>
    </xf>
    <xf numFmtId="14" fontId="15" fillId="0" borderId="126" xfId="18" applyNumberFormat="1" applyFont="1" applyFill="1" applyBorder="1" applyAlignment="1" applyProtection="1">
      <alignment horizontal="center" vertical="center"/>
      <protection locked="0"/>
    </xf>
    <xf numFmtId="14" fontId="3" fillId="13" borderId="127" xfId="18" applyNumberFormat="1" applyFont="1" applyFill="1" applyBorder="1" applyAlignment="1" applyProtection="1">
      <alignment horizontal="center" vertical="center"/>
      <protection hidden="1"/>
    </xf>
    <xf numFmtId="14" fontId="3" fillId="13" borderId="128" xfId="18" applyNumberFormat="1" applyFont="1" applyFill="1" applyBorder="1" applyAlignment="1" applyProtection="1">
      <alignment horizontal="center" vertical="center"/>
      <protection hidden="1"/>
    </xf>
    <xf numFmtId="0" fontId="41" fillId="14" borderId="119" xfId="18" applyFont="1" applyFill="1" applyBorder="1" applyAlignment="1" applyProtection="1">
      <alignment horizontal="left" vertical="center" wrapText="1"/>
      <protection locked="0"/>
    </xf>
    <xf numFmtId="0" fontId="41" fillId="14" borderId="120" xfId="18" applyFont="1" applyFill="1" applyBorder="1" applyAlignment="1" applyProtection="1">
      <alignment horizontal="left" vertical="center" wrapText="1"/>
      <protection locked="0"/>
    </xf>
    <xf numFmtId="0" fontId="41" fillId="14" borderId="121" xfId="18" applyFont="1" applyFill="1" applyBorder="1" applyAlignment="1" applyProtection="1">
      <alignment horizontal="left" vertical="center" wrapText="1"/>
      <protection locked="0"/>
    </xf>
    <xf numFmtId="0" fontId="41" fillId="14" borderId="121" xfId="18" applyFont="1" applyFill="1" applyBorder="1" applyAlignment="1" applyProtection="1">
      <alignment horizontal="left" vertical="center"/>
      <protection locked="0"/>
    </xf>
    <xf numFmtId="0" fontId="41" fillId="14" borderId="122" xfId="18" applyFont="1" applyFill="1" applyBorder="1" applyAlignment="1" applyProtection="1">
      <alignment horizontal="left" vertical="center"/>
      <protection locked="0"/>
    </xf>
    <xf numFmtId="0" fontId="42" fillId="19" borderId="92" xfId="18" applyFont="1" applyFill="1" applyBorder="1" applyAlignment="1" applyProtection="1">
      <alignment vertical="center"/>
      <protection locked="0"/>
    </xf>
    <xf numFmtId="164" fontId="16" fillId="13" borderId="78" xfId="18" applyNumberFormat="1" applyFont="1" applyFill="1" applyBorder="1"/>
    <xf numFmtId="0" fontId="42" fillId="19" borderId="56" xfId="18" applyFont="1" applyFill="1" applyBorder="1" applyAlignment="1" applyProtection="1">
      <alignment vertical="center"/>
      <protection locked="0"/>
    </xf>
    <xf numFmtId="172" fontId="32" fillId="20" borderId="117" xfId="18" applyNumberFormat="1" applyFont="1" applyFill="1" applyBorder="1"/>
    <xf numFmtId="0" fontId="42" fillId="19" borderId="67" xfId="18" applyFont="1" applyFill="1" applyBorder="1" applyAlignment="1" applyProtection="1">
      <alignment vertical="center"/>
      <protection locked="0"/>
    </xf>
    <xf numFmtId="172" fontId="32" fillId="20" borderId="118" xfId="18" applyNumberFormat="1" applyFont="1" applyFill="1" applyBorder="1"/>
    <xf numFmtId="49" fontId="18" fillId="4" borderId="118" xfId="18" applyNumberFormat="1" applyFont="1" applyFill="1" applyBorder="1"/>
    <xf numFmtId="9" fontId="16" fillId="4" borderId="83" xfId="19" applyFont="1" applyFill="1" applyBorder="1" applyAlignment="1">
      <alignment vertical="center"/>
    </xf>
    <xf numFmtId="172" fontId="16" fillId="4" borderId="87" xfId="18" applyNumberFormat="1" applyFont="1" applyFill="1" applyBorder="1" applyAlignment="1">
      <alignment vertical="center"/>
    </xf>
    <xf numFmtId="172" fontId="16" fillId="4" borderId="84" xfId="18" applyNumberFormat="1" applyFont="1" applyFill="1" applyBorder="1" applyAlignment="1">
      <alignment vertical="center"/>
    </xf>
    <xf numFmtId="172" fontId="16" fillId="4" borderId="85" xfId="18" applyNumberFormat="1" applyFont="1" applyFill="1" applyBorder="1" applyAlignment="1">
      <alignment vertical="center"/>
    </xf>
    <xf numFmtId="172" fontId="32" fillId="4" borderId="89" xfId="18" applyNumberFormat="1" applyFont="1" applyFill="1" applyBorder="1" applyAlignment="1">
      <alignment vertical="center"/>
    </xf>
    <xf numFmtId="172" fontId="16" fillId="4" borderId="86" xfId="18" applyNumberFormat="1" applyFont="1" applyFill="1" applyBorder="1" applyAlignment="1">
      <alignment vertical="center"/>
    </xf>
    <xf numFmtId="172" fontId="32" fillId="4" borderId="88" xfId="18" applyNumberFormat="1" applyFont="1" applyFill="1" applyBorder="1" applyAlignment="1">
      <alignment vertical="center"/>
    </xf>
    <xf numFmtId="172" fontId="18" fillId="4" borderId="85" xfId="18" applyNumberFormat="1" applyFont="1" applyFill="1" applyBorder="1" applyAlignment="1">
      <alignment vertical="center"/>
    </xf>
    <xf numFmtId="172" fontId="18" fillId="4" borderId="89" xfId="18" applyNumberFormat="1" applyFont="1" applyFill="1" applyBorder="1" applyAlignment="1">
      <alignment vertical="center"/>
    </xf>
    <xf numFmtId="172" fontId="7" fillId="18" borderId="82" xfId="18" applyNumberFormat="1" applyFont="1" applyFill="1" applyBorder="1" applyAlignment="1">
      <alignment vertical="center"/>
    </xf>
    <xf numFmtId="0" fontId="32" fillId="20" borderId="65" xfId="18" applyNumberFormat="1" applyFont="1" applyFill="1" applyBorder="1" applyAlignment="1">
      <alignment horizontal="center" vertical="center" wrapText="1"/>
    </xf>
    <xf numFmtId="0" fontId="32" fillId="20" borderId="114" xfId="18" applyNumberFormat="1" applyFont="1" applyFill="1" applyBorder="1" applyAlignment="1">
      <alignment horizontal="center" vertical="center" wrapText="1"/>
    </xf>
    <xf numFmtId="0" fontId="32" fillId="20" borderId="74" xfId="18" applyNumberFormat="1" applyFont="1" applyFill="1" applyBorder="1" applyAlignment="1">
      <alignment horizontal="center" vertical="center" wrapText="1"/>
    </xf>
    <xf numFmtId="0" fontId="32" fillId="20" borderId="112" xfId="18" applyNumberFormat="1" applyFont="1" applyFill="1" applyBorder="1" applyAlignment="1">
      <alignment horizontal="center" vertical="center" wrapText="1"/>
    </xf>
    <xf numFmtId="0" fontId="32" fillId="20" borderId="74" xfId="18" applyNumberFormat="1" applyFont="1" applyFill="1" applyBorder="1" applyAlignment="1">
      <alignment horizontal="right" vertical="center" wrapText="1"/>
    </xf>
    <xf numFmtId="0" fontId="32" fillId="20" borderId="75" xfId="18" applyNumberFormat="1" applyFont="1" applyFill="1" applyBorder="1" applyAlignment="1">
      <alignment horizontal="right" vertical="center"/>
    </xf>
    <xf numFmtId="0" fontId="32" fillId="20" borderId="76" xfId="18" applyNumberFormat="1" applyFont="1" applyFill="1" applyBorder="1" applyAlignment="1">
      <alignment horizontal="right" vertical="center"/>
    </xf>
    <xf numFmtId="2" fontId="32" fillId="20" borderId="81" xfId="18" applyNumberFormat="1" applyFont="1" applyFill="1" applyBorder="1" applyAlignment="1">
      <alignment horizontal="right"/>
    </xf>
    <xf numFmtId="172" fontId="32" fillId="20" borderId="79" xfId="18" applyNumberFormat="1" applyFont="1" applyFill="1" applyBorder="1" applyAlignment="1">
      <alignment horizontal="right"/>
    </xf>
    <xf numFmtId="172" fontId="32" fillId="20" borderId="80" xfId="18" applyNumberFormat="1" applyFont="1" applyFill="1" applyBorder="1" applyAlignment="1">
      <alignment horizontal="right"/>
    </xf>
    <xf numFmtId="49" fontId="18" fillId="4" borderId="80" xfId="18" applyNumberFormat="1" applyFont="1" applyFill="1" applyBorder="1" applyAlignment="1">
      <alignment horizontal="right"/>
    </xf>
    <xf numFmtId="172" fontId="32" fillId="4" borderId="89" xfId="18" applyNumberFormat="1" applyFont="1" applyFill="1" applyBorder="1" applyAlignment="1">
      <alignment horizontal="right" vertical="center"/>
    </xf>
    <xf numFmtId="17" fontId="45" fillId="24" borderId="105" xfId="18" applyNumberFormat="1" applyFont="1" applyFill="1" applyBorder="1" applyAlignment="1" applyProtection="1">
      <alignment vertical="center"/>
      <protection locked="0"/>
    </xf>
    <xf numFmtId="0" fontId="7" fillId="24" borderId="105" xfId="18" applyFont="1" applyFill="1" applyBorder="1" applyAlignment="1" applyProtection="1">
      <alignment vertical="center"/>
      <protection locked="0"/>
    </xf>
    <xf numFmtId="0" fontId="16" fillId="24" borderId="105" xfId="18" applyFont="1" applyFill="1" applyBorder="1" applyProtection="1">
      <protection locked="0"/>
    </xf>
    <xf numFmtId="14" fontId="33" fillId="20" borderId="106" xfId="18" applyNumberFormat="1" applyFont="1" applyFill="1" applyBorder="1" applyAlignment="1">
      <alignment horizontal="center" vertical="center"/>
    </xf>
    <xf numFmtId="0" fontId="33" fillId="20" borderId="106" xfId="18" applyFont="1" applyFill="1" applyBorder="1" applyAlignment="1">
      <alignment horizontal="center"/>
    </xf>
    <xf numFmtId="0" fontId="30" fillId="25" borderId="107" xfId="18" applyFont="1" applyFill="1" applyBorder="1" applyAlignment="1">
      <alignment horizontal="center" vertical="center"/>
    </xf>
    <xf numFmtId="172" fontId="39" fillId="18" borderId="129" xfId="18" applyNumberFormat="1" applyFont="1" applyFill="1" applyBorder="1"/>
    <xf numFmtId="172" fontId="26" fillId="18" borderId="130" xfId="18" applyNumberFormat="1" applyFont="1" applyFill="1" applyBorder="1"/>
    <xf numFmtId="0" fontId="46" fillId="20" borderId="127" xfId="18" applyNumberFormat="1" applyFont="1" applyFill="1" applyBorder="1" applyAlignment="1" applyProtection="1">
      <alignment horizontal="center" vertical="center"/>
      <protection hidden="1"/>
    </xf>
    <xf numFmtId="0" fontId="46" fillId="20" borderId="127" xfId="18" applyNumberFormat="1" applyFont="1" applyFill="1" applyBorder="1" applyAlignment="1" applyProtection="1">
      <alignment horizontal="right" vertical="center"/>
      <protection hidden="1"/>
    </xf>
    <xf numFmtId="0" fontId="27" fillId="11" borderId="2" xfId="18" applyFont="1" applyFill="1" applyBorder="1" applyAlignment="1" applyProtection="1">
      <alignment vertical="top"/>
    </xf>
    <xf numFmtId="0" fontId="27" fillId="11" borderId="8" xfId="18" applyFont="1" applyFill="1" applyBorder="1" applyAlignment="1" applyProtection="1">
      <alignment vertical="top"/>
    </xf>
    <xf numFmtId="0" fontId="29" fillId="11" borderId="8" xfId="18" applyFont="1" applyFill="1" applyBorder="1" applyAlignment="1" applyProtection="1">
      <alignment vertical="top"/>
    </xf>
    <xf numFmtId="0" fontId="46" fillId="20" borderId="133" xfId="18" applyNumberFormat="1" applyFont="1" applyFill="1" applyBorder="1" applyAlignment="1" applyProtection="1">
      <alignment horizontal="center" vertical="center"/>
      <protection hidden="1"/>
    </xf>
    <xf numFmtId="0" fontId="37" fillId="0" borderId="0" xfId="18" applyFont="1" applyFill="1" applyBorder="1"/>
    <xf numFmtId="0" fontId="7" fillId="24" borderId="106" xfId="18" applyFont="1" applyFill="1" applyBorder="1" applyAlignment="1" applyProtection="1">
      <alignment horizontal="center" vertical="center"/>
      <protection locked="0"/>
    </xf>
    <xf numFmtId="0" fontId="7" fillId="24" borderId="106" xfId="18" applyFont="1" applyFill="1" applyBorder="1" applyAlignment="1" applyProtection="1">
      <alignment horizontal="center"/>
      <protection locked="0"/>
    </xf>
    <xf numFmtId="0" fontId="15" fillId="0" borderId="126" xfId="18" applyNumberFormat="1" applyFont="1" applyFill="1" applyBorder="1" applyAlignment="1" applyProtection="1">
      <alignment horizontal="center" vertical="center"/>
      <protection locked="0"/>
    </xf>
    <xf numFmtId="0" fontId="32" fillId="20" borderId="75" xfId="18" applyNumberFormat="1" applyFont="1" applyFill="1" applyBorder="1" applyAlignment="1">
      <alignment horizontal="right" vertical="center" wrapText="1"/>
    </xf>
    <xf numFmtId="0" fontId="32" fillId="20" borderId="112" xfId="18" applyNumberFormat="1" applyFont="1" applyFill="1" applyBorder="1" applyAlignment="1">
      <alignment horizontal="right" vertical="center" wrapText="1"/>
    </xf>
    <xf numFmtId="0" fontId="7" fillId="0" borderId="47" xfId="18" applyNumberFormat="1" applyFont="1" applyFill="1" applyBorder="1" applyAlignment="1" applyProtection="1">
      <alignment horizontal="left" vertical="center" wrapText="1"/>
      <protection locked="0"/>
    </xf>
    <xf numFmtId="0" fontId="7" fillId="0" borderId="47" xfId="18" applyNumberFormat="1" applyFont="1" applyFill="1" applyBorder="1" applyAlignment="1" applyProtection="1">
      <alignment horizontal="center" vertical="center" wrapText="1"/>
      <protection locked="0"/>
    </xf>
    <xf numFmtId="0" fontId="7" fillId="0" borderId="55" xfId="18" applyNumberFormat="1" applyFont="1" applyFill="1" applyBorder="1" applyProtection="1">
      <protection locked="0"/>
    </xf>
    <xf numFmtId="0" fontId="7" fillId="0" borderId="50" xfId="18" applyNumberFormat="1" applyFont="1" applyFill="1" applyBorder="1" applyAlignment="1" applyProtection="1">
      <alignment horizontal="center" vertical="center"/>
      <protection locked="0"/>
    </xf>
    <xf numFmtId="0" fontId="7" fillId="0" borderId="59" xfId="18" applyNumberFormat="1" applyFont="1" applyFill="1" applyBorder="1" applyProtection="1">
      <protection locked="0"/>
    </xf>
    <xf numFmtId="0" fontId="32" fillId="20" borderId="75" xfId="18" applyNumberFormat="1" applyFont="1" applyFill="1" applyBorder="1" applyAlignment="1">
      <alignment horizontal="center" vertical="center" wrapText="1"/>
    </xf>
    <xf numFmtId="0" fontId="32" fillId="20" borderId="66" xfId="18" applyNumberFormat="1" applyFont="1" applyFill="1" applyBorder="1" applyAlignment="1">
      <alignment horizontal="center" vertical="center" wrapText="1"/>
    </xf>
    <xf numFmtId="0" fontId="7" fillId="0" borderId="71" xfId="18" applyNumberFormat="1" applyFont="1" applyFill="1" applyBorder="1" applyProtection="1">
      <protection locked="0"/>
    </xf>
    <xf numFmtId="0" fontId="7" fillId="0" borderId="98" xfId="18" applyNumberFormat="1" applyFont="1" applyFill="1" applyBorder="1" applyAlignment="1" applyProtection="1">
      <alignment vertical="center"/>
      <protection locked="0"/>
    </xf>
    <xf numFmtId="172" fontId="3" fillId="9" borderId="78" xfId="18" applyNumberFormat="1" applyFont="1" applyFill="1" applyBorder="1"/>
    <xf numFmtId="172" fontId="3" fillId="9" borderId="79" xfId="18" applyNumberFormat="1" applyFont="1" applyFill="1" applyBorder="1"/>
    <xf numFmtId="172" fontId="3" fillId="4" borderId="79" xfId="18" applyNumberFormat="1" applyFont="1" applyFill="1" applyBorder="1"/>
    <xf numFmtId="0" fontId="7" fillId="4" borderId="134" xfId="18" applyFont="1" applyFill="1" applyBorder="1" applyAlignment="1">
      <alignment horizontal="center" vertical="center" wrapText="1"/>
    </xf>
    <xf numFmtId="172" fontId="7" fillId="13" borderId="53" xfId="18" applyNumberFormat="1" applyFont="1" applyFill="1" applyBorder="1"/>
    <xf numFmtId="172" fontId="7" fillId="13" borderId="135" xfId="18" applyNumberFormat="1" applyFont="1" applyFill="1" applyBorder="1"/>
    <xf numFmtId="172" fontId="7" fillId="13" borderId="57" xfId="18" applyNumberFormat="1" applyFont="1" applyFill="1" applyBorder="1"/>
    <xf numFmtId="172" fontId="7" fillId="13" borderId="117" xfId="18" applyNumberFormat="1" applyFont="1" applyFill="1" applyBorder="1"/>
    <xf numFmtId="172" fontId="7" fillId="4" borderId="57" xfId="18" applyNumberFormat="1" applyFont="1" applyFill="1" applyBorder="1"/>
    <xf numFmtId="172" fontId="7" fillId="4" borderId="117" xfId="18" applyNumberFormat="1" applyFont="1" applyFill="1" applyBorder="1"/>
    <xf numFmtId="172" fontId="7" fillId="18" borderId="86" xfId="18" applyNumberFormat="1" applyFont="1" applyFill="1" applyBorder="1" applyAlignment="1">
      <alignment vertical="center"/>
    </xf>
    <xf numFmtId="0" fontId="43" fillId="4" borderId="104" xfId="18" applyFont="1" applyFill="1" applyBorder="1" applyAlignment="1" applyProtection="1">
      <alignment horizontal="right" vertical="center"/>
      <protection locked="0"/>
    </xf>
    <xf numFmtId="0" fontId="43" fillId="4" borderId="67" xfId="18" applyFont="1" applyFill="1" applyBorder="1" applyAlignment="1" applyProtection="1">
      <alignment horizontal="right" vertical="center" indent="4"/>
      <protection locked="0"/>
    </xf>
    <xf numFmtId="0" fontId="34" fillId="11" borderId="3" xfId="18" applyFont="1" applyFill="1" applyBorder="1" applyAlignment="1">
      <alignment horizontal="center" vertical="center"/>
    </xf>
    <xf numFmtId="2" fontId="32" fillId="20" borderId="54" xfId="18" applyNumberFormat="1" applyFont="1" applyFill="1" applyBorder="1"/>
    <xf numFmtId="0" fontId="17" fillId="11" borderId="9" xfId="18" applyFont="1" applyFill="1" applyBorder="1" applyAlignment="1">
      <alignment horizontal="center" vertical="center"/>
    </xf>
    <xf numFmtId="0" fontId="17" fillId="11" borderId="2" xfId="18" applyFont="1" applyFill="1" applyBorder="1" applyAlignment="1">
      <alignment horizontal="center" vertical="center"/>
    </xf>
    <xf numFmtId="0" fontId="17" fillId="11" borderId="8" xfId="18" applyFont="1" applyFill="1" applyBorder="1" applyAlignment="1">
      <alignment horizontal="center" vertical="center"/>
    </xf>
    <xf numFmtId="0" fontId="30" fillId="16" borderId="9" xfId="18" applyFont="1" applyFill="1" applyBorder="1" applyAlignment="1">
      <alignment horizontal="center" vertical="center"/>
    </xf>
    <xf numFmtId="0" fontId="30" fillId="16" borderId="2" xfId="18" applyFont="1" applyFill="1" applyBorder="1" applyAlignment="1">
      <alignment horizontal="center" vertical="center"/>
    </xf>
    <xf numFmtId="0" fontId="30" fillId="16" borderId="8" xfId="18" applyFont="1" applyFill="1" applyBorder="1" applyAlignment="1">
      <alignment horizontal="center" vertical="center"/>
    </xf>
    <xf numFmtId="0" fontId="34" fillId="11" borderId="9" xfId="18" applyFont="1" applyFill="1" applyBorder="1" applyAlignment="1">
      <alignment horizontal="center" vertical="center"/>
    </xf>
    <xf numFmtId="0" fontId="34" fillId="11" borderId="2" xfId="18" applyFont="1" applyFill="1" applyBorder="1" applyAlignment="1">
      <alignment horizontal="center" vertical="center"/>
    </xf>
    <xf numFmtId="0" fontId="34" fillId="11" borderId="8" xfId="18" applyFont="1" applyFill="1" applyBorder="1" applyAlignment="1">
      <alignment horizontal="center" vertical="center"/>
    </xf>
    <xf numFmtId="0" fontId="27" fillId="11" borderId="12" xfId="18" applyFont="1" applyFill="1" applyBorder="1" applyAlignment="1" applyProtection="1">
      <alignment horizontal="center" vertical="top" wrapText="1"/>
      <protection locked="0"/>
    </xf>
    <xf numFmtId="0" fontId="27" fillId="11" borderId="10" xfId="18" applyFont="1" applyFill="1" applyBorder="1" applyAlignment="1" applyProtection="1">
      <alignment horizontal="center" vertical="top" wrapText="1"/>
      <protection locked="0"/>
    </xf>
    <xf numFmtId="0" fontId="27" fillId="11" borderId="11" xfId="18" applyFont="1" applyFill="1" applyBorder="1" applyAlignment="1" applyProtection="1">
      <alignment horizontal="center" vertical="top" wrapText="1"/>
      <protection locked="0"/>
    </xf>
    <xf numFmtId="0" fontId="27" fillId="11" borderId="103" xfId="18" applyFont="1" applyFill="1" applyBorder="1" applyAlignment="1" applyProtection="1">
      <alignment horizontal="center" vertical="top" wrapText="1"/>
      <protection locked="0"/>
    </xf>
    <xf numFmtId="0" fontId="27" fillId="11" borderId="0" xfId="18" applyFont="1" applyFill="1" applyBorder="1" applyAlignment="1" applyProtection="1">
      <alignment horizontal="center" vertical="top" wrapText="1"/>
      <protection locked="0"/>
    </xf>
    <xf numFmtId="0" fontId="27" fillId="11" borderId="6" xfId="18" applyFont="1" applyFill="1" applyBorder="1" applyAlignment="1" applyProtection="1">
      <alignment horizontal="center" vertical="top" wrapText="1"/>
      <protection locked="0"/>
    </xf>
    <xf numFmtId="0" fontId="27" fillId="11" borderId="13" xfId="18" applyFont="1" applyFill="1" applyBorder="1" applyAlignment="1" applyProtection="1">
      <alignment horizontal="center" vertical="top" wrapText="1"/>
      <protection locked="0"/>
    </xf>
    <xf numFmtId="0" fontId="27" fillId="11" borderId="5" xfId="18" applyFont="1" applyFill="1" applyBorder="1" applyAlignment="1" applyProtection="1">
      <alignment horizontal="center" vertical="top" wrapText="1"/>
      <protection locked="0"/>
    </xf>
    <xf numFmtId="0" fontId="27" fillId="11" borderId="7" xfId="18" applyFont="1" applyFill="1" applyBorder="1" applyAlignment="1" applyProtection="1">
      <alignment horizontal="center" vertical="top" wrapText="1"/>
      <protection locked="0"/>
    </xf>
    <xf numFmtId="0" fontId="19" fillId="15" borderId="0" xfId="18" applyFont="1" applyFill="1" applyBorder="1" applyAlignment="1">
      <alignment horizontal="center" vertical="center"/>
    </xf>
    <xf numFmtId="0" fontId="36" fillId="0" borderId="0" xfId="18" applyFont="1" applyFill="1" applyBorder="1" applyAlignment="1">
      <alignment horizontal="center" vertical="center"/>
    </xf>
    <xf numFmtId="0" fontId="44" fillId="15" borderId="9" xfId="18" applyFont="1" applyFill="1" applyBorder="1" applyAlignment="1">
      <alignment horizontal="center" vertical="center"/>
    </xf>
    <xf numFmtId="0" fontId="44" fillId="15" borderId="2" xfId="18" applyFont="1" applyFill="1" applyBorder="1" applyAlignment="1">
      <alignment horizontal="center" vertical="center"/>
    </xf>
    <xf numFmtId="0" fontId="44" fillId="15" borderId="8" xfId="18" applyFont="1" applyFill="1" applyBorder="1" applyAlignment="1">
      <alignment horizontal="center" vertical="center"/>
    </xf>
    <xf numFmtId="0" fontId="3" fillId="0" borderId="0" xfId="18" applyFont="1" applyFill="1" applyBorder="1" applyAlignment="1">
      <alignment horizontal="left" vertical="center"/>
    </xf>
    <xf numFmtId="172" fontId="25" fillId="24" borderId="131" xfId="18" applyNumberFormat="1" applyFont="1" applyFill="1" applyBorder="1" applyAlignment="1" applyProtection="1">
      <alignment horizontal="center" vertical="center"/>
      <protection locked="0"/>
    </xf>
    <xf numFmtId="172" fontId="25" fillId="24" borderId="132" xfId="18" applyNumberFormat="1" applyFont="1" applyFill="1" applyBorder="1" applyAlignment="1" applyProtection="1">
      <alignment horizontal="center" vertical="center"/>
      <protection locked="0"/>
    </xf>
    <xf numFmtId="0" fontId="27" fillId="11" borderId="9" xfId="18" applyFont="1" applyFill="1" applyBorder="1" applyAlignment="1" applyProtection="1">
      <alignment horizontal="center" vertical="top" wrapText="1"/>
    </xf>
    <xf numFmtId="0" fontId="27" fillId="11" borderId="2" xfId="18" applyFont="1" applyFill="1" applyBorder="1" applyAlignment="1" applyProtection="1">
      <alignment horizontal="center" vertical="top" wrapText="1"/>
    </xf>
    <xf numFmtId="0" fontId="27" fillId="11" borderId="8" xfId="18" applyFont="1" applyFill="1" applyBorder="1" applyAlignment="1" applyProtection="1">
      <alignment horizontal="center" vertical="top" wrapText="1"/>
    </xf>
    <xf numFmtId="0" fontId="48" fillId="11" borderId="12" xfId="18" applyFont="1" applyFill="1" applyBorder="1" applyAlignment="1" applyProtection="1">
      <alignment horizontal="center" vertical="top"/>
    </xf>
    <xf numFmtId="0" fontId="48" fillId="11" borderId="10" xfId="18" applyFont="1" applyFill="1" applyBorder="1" applyAlignment="1" applyProtection="1">
      <alignment horizontal="center" vertical="top"/>
    </xf>
    <xf numFmtId="0" fontId="48" fillId="11" borderId="11" xfId="18" applyFont="1" applyFill="1" applyBorder="1" applyAlignment="1" applyProtection="1">
      <alignment horizontal="center" vertical="top"/>
    </xf>
    <xf numFmtId="0" fontId="48" fillId="11" borderId="103" xfId="18" applyFont="1" applyFill="1" applyBorder="1" applyAlignment="1" applyProtection="1">
      <alignment horizontal="center" vertical="top"/>
    </xf>
    <xf numFmtId="0" fontId="48" fillId="11" borderId="0" xfId="18" applyFont="1" applyFill="1" applyBorder="1" applyAlignment="1" applyProtection="1">
      <alignment horizontal="center" vertical="top"/>
    </xf>
    <xf numFmtId="0" fontId="48" fillId="11" borderId="6" xfId="18" applyFont="1" applyFill="1" applyBorder="1" applyAlignment="1" applyProtection="1">
      <alignment horizontal="center" vertical="top"/>
    </xf>
    <xf numFmtId="0" fontId="48" fillId="11" borderId="13" xfId="18" applyFont="1" applyFill="1" applyBorder="1" applyAlignment="1" applyProtection="1">
      <alignment horizontal="center" vertical="top"/>
    </xf>
    <xf numFmtId="0" fontId="48" fillId="11" borderId="5" xfId="18" applyFont="1" applyFill="1" applyBorder="1" applyAlignment="1" applyProtection="1">
      <alignment horizontal="center" vertical="top"/>
    </xf>
    <xf numFmtId="0" fontId="48" fillId="11" borderId="7" xfId="18" applyFont="1" applyFill="1" applyBorder="1" applyAlignment="1" applyProtection="1">
      <alignment horizontal="center" vertical="top"/>
    </xf>
    <xf numFmtId="0" fontId="47" fillId="11" borderId="13" xfId="18" applyFont="1" applyFill="1" applyBorder="1" applyAlignment="1" applyProtection="1">
      <alignment horizontal="center" vertical="top" wrapText="1"/>
    </xf>
    <xf numFmtId="0" fontId="47" fillId="11" borderId="5" xfId="18" applyFont="1" applyFill="1" applyBorder="1" applyAlignment="1" applyProtection="1">
      <alignment horizontal="center" vertical="top" wrapText="1"/>
    </xf>
    <xf numFmtId="0" fontId="38" fillId="22" borderId="8" xfId="18" applyFont="1" applyFill="1" applyBorder="1" applyAlignment="1">
      <alignment horizontal="center" vertical="center"/>
    </xf>
    <xf numFmtId="0" fontId="3" fillId="23" borderId="2" xfId="0" applyFont="1" applyFill="1" applyBorder="1"/>
    <xf numFmtId="0" fontId="15" fillId="9" borderId="2" xfId="18" applyFont="1" applyFill="1" applyBorder="1" applyAlignment="1">
      <alignment horizontal="center" vertical="center"/>
    </xf>
  </cellXfs>
  <cellStyles count="20">
    <cellStyle name="args.style" xfId="1"/>
    <cellStyle name="Comma [0]_!!!GO" xfId="2"/>
    <cellStyle name="Comma_!!!GO" xfId="3"/>
    <cellStyle name="Currency [0]_!!!GO" xfId="4"/>
    <cellStyle name="Currency_!!!GO" xfId="5"/>
    <cellStyle name="Euro" xfId="6"/>
    <cellStyle name="Grey" xfId="7"/>
    <cellStyle name="Header1" xfId="8"/>
    <cellStyle name="Header2" xfId="9"/>
    <cellStyle name="Input [yellow]" xfId="10"/>
    <cellStyle name="Normal" xfId="0" builtinId="0"/>
    <cellStyle name="Normal - Style1" xfId="11"/>
    <cellStyle name="Normal 2" xfId="18"/>
    <cellStyle name="Œ…‹æØ‚è [0.00]_Region Orders (2)" xfId="12"/>
    <cellStyle name="Œ…‹æØ‚è_Region Orders (2)" xfId="13"/>
    <cellStyle name="per.style" xfId="14"/>
    <cellStyle name="Percent [2]" xfId="15"/>
    <cellStyle name="Pourcentage 2" xfId="19"/>
    <cellStyle name="pricing" xfId="16"/>
    <cellStyle name="PSHeading" xfId="17"/>
  </cellStyles>
  <dxfs count="3">
    <dxf>
      <fill>
        <patternFill>
          <bgColor rgb="FFF49A96"/>
        </patternFill>
      </fill>
    </dxf>
    <dxf>
      <font>
        <strike/>
      </font>
    </dxf>
    <dxf>
      <fill>
        <patternFill>
          <bgColor rgb="FFF49A96"/>
        </patternFill>
      </fill>
    </dxf>
  </dxfs>
  <tableStyles count="0" defaultTableStyle="TableStyleMedium9" defaultPivotStyle="PivotStyleLight16"/>
  <colors>
    <mruColors>
      <color rgb="FFF49A96"/>
      <color rgb="FFE7E2D5"/>
      <color rgb="FFF9EEB9"/>
      <color rgb="FFF7F7F7"/>
      <color rgb="FFE8E0C8"/>
      <color rgb="FFDDD0AD"/>
      <color rgb="FFCEBC88"/>
      <color rgb="FFAD930F"/>
      <color rgb="FF8E780C"/>
      <color rgb="FFF5E4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1876425</xdr:colOff>
      <xdr:row>70</xdr:row>
      <xdr:rowOff>9525</xdr:rowOff>
    </xdr:from>
    <xdr:to>
      <xdr:col>5</xdr:col>
      <xdr:colOff>457200</xdr:colOff>
      <xdr:row>74</xdr:row>
      <xdr:rowOff>57150</xdr:rowOff>
    </xdr:to>
    <xdr:sp macro="" textlink="">
      <xdr:nvSpPr>
        <xdr:cNvPr id="4" name="Flèche courbée vers le haut 3"/>
        <xdr:cNvSpPr/>
      </xdr:nvSpPr>
      <xdr:spPr>
        <a:xfrm>
          <a:off x="1876425" y="12696825"/>
          <a:ext cx="1712595" cy="748665"/>
        </a:xfrm>
        <a:prstGeom prst="curvedUpArrow">
          <a:avLst/>
        </a:prstGeom>
        <a:solidFill>
          <a:srgbClr val="DDD0AD"/>
        </a:solidFill>
        <a:ln>
          <a:solidFill>
            <a:srgbClr val="CEBC88"/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1034143</xdr:colOff>
      <xdr:row>70</xdr:row>
      <xdr:rowOff>20410</xdr:rowOff>
    </xdr:from>
    <xdr:to>
      <xdr:col>9</xdr:col>
      <xdr:colOff>1248381</xdr:colOff>
      <xdr:row>74</xdr:row>
      <xdr:rowOff>68035</xdr:rowOff>
    </xdr:to>
    <xdr:sp macro="" textlink="">
      <xdr:nvSpPr>
        <xdr:cNvPr id="5" name="Flèche courbée vers le haut 4"/>
        <xdr:cNvSpPr/>
      </xdr:nvSpPr>
      <xdr:spPr>
        <a:xfrm>
          <a:off x="7032172" y="16065953"/>
          <a:ext cx="1803552" cy="700768"/>
        </a:xfrm>
        <a:prstGeom prst="curvedUpArrow">
          <a:avLst/>
        </a:prstGeom>
        <a:solidFill>
          <a:srgbClr val="DDD0AD"/>
        </a:solidFill>
        <a:ln>
          <a:solidFill>
            <a:srgbClr val="CEBC88"/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388620</xdr:colOff>
          <xdr:row>14</xdr:row>
          <xdr:rowOff>53340</xdr:rowOff>
        </xdr:from>
        <xdr:to>
          <xdr:col>28</xdr:col>
          <xdr:colOff>998220</xdr:colOff>
          <xdr:row>16</xdr:row>
          <xdr:rowOff>53340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l'écriture comptable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1397000</xdr:colOff>
      <xdr:row>70</xdr:row>
      <xdr:rowOff>12700</xdr:rowOff>
    </xdr:from>
    <xdr:to>
      <xdr:col>14</xdr:col>
      <xdr:colOff>1108075</xdr:colOff>
      <xdr:row>74</xdr:row>
      <xdr:rowOff>60325</xdr:rowOff>
    </xdr:to>
    <xdr:sp macro="" textlink="">
      <xdr:nvSpPr>
        <xdr:cNvPr id="8" name="Flèche courbée vers le haut 7"/>
        <xdr:cNvSpPr/>
      </xdr:nvSpPr>
      <xdr:spPr>
        <a:xfrm>
          <a:off x="12560300" y="12852400"/>
          <a:ext cx="1717675" cy="758825"/>
        </a:xfrm>
        <a:prstGeom prst="curvedUpArrow">
          <a:avLst/>
        </a:prstGeom>
        <a:solidFill>
          <a:srgbClr val="DDD0AD"/>
        </a:solidFill>
        <a:ln>
          <a:solidFill>
            <a:srgbClr val="CEBC88"/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1358900</xdr:colOff>
      <xdr:row>70</xdr:row>
      <xdr:rowOff>25400</xdr:rowOff>
    </xdr:from>
    <xdr:to>
      <xdr:col>22</xdr:col>
      <xdr:colOff>1069975</xdr:colOff>
      <xdr:row>74</xdr:row>
      <xdr:rowOff>73025</xdr:rowOff>
    </xdr:to>
    <xdr:sp macro="" textlink="">
      <xdr:nvSpPr>
        <xdr:cNvPr id="9" name="Flèche courbée vers le haut 8"/>
        <xdr:cNvSpPr/>
      </xdr:nvSpPr>
      <xdr:spPr>
        <a:xfrm>
          <a:off x="20548600" y="12865100"/>
          <a:ext cx="1717675" cy="758825"/>
        </a:xfrm>
        <a:prstGeom prst="curvedUpArrow">
          <a:avLst/>
        </a:prstGeom>
        <a:solidFill>
          <a:srgbClr val="DDD0AD"/>
        </a:solidFill>
        <a:ln>
          <a:solidFill>
            <a:srgbClr val="CEBC88"/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21772</xdr:colOff>
      <xdr:row>0</xdr:row>
      <xdr:rowOff>43543</xdr:rowOff>
    </xdr:from>
    <xdr:to>
      <xdr:col>5</xdr:col>
      <xdr:colOff>21772</xdr:colOff>
      <xdr:row>6</xdr:row>
      <xdr:rowOff>250372</xdr:rowOff>
    </xdr:to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772" y="43543"/>
          <a:ext cx="3091543" cy="1012372"/>
        </a:xfrm>
        <a:prstGeom prst="rect">
          <a:avLst/>
        </a:prstGeom>
      </xdr:spPr>
    </xdr:pic>
    <xdr:clientData/>
  </xdr:twoCellAnchor>
  <xdr:twoCellAnchor>
    <xdr:from>
      <xdr:col>27</xdr:col>
      <xdr:colOff>1012372</xdr:colOff>
      <xdr:row>11</xdr:row>
      <xdr:rowOff>326572</xdr:rowOff>
    </xdr:from>
    <xdr:to>
      <xdr:col>28</xdr:col>
      <xdr:colOff>293915</xdr:colOff>
      <xdr:row>14</xdr:row>
      <xdr:rowOff>43543</xdr:rowOff>
    </xdr:to>
    <xdr:sp macro="" textlink="">
      <xdr:nvSpPr>
        <xdr:cNvPr id="2" name="Flèche vers le bas 1"/>
        <xdr:cNvSpPr/>
      </xdr:nvSpPr>
      <xdr:spPr>
        <a:xfrm>
          <a:off x="27976286" y="2405743"/>
          <a:ext cx="435429" cy="468086"/>
        </a:xfrm>
        <a:prstGeom prst="downArrow">
          <a:avLst/>
        </a:prstGeom>
        <a:noFill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000srv002\nasa\Centrale\IMMO\SGX\DEPLACEMENTS\Reunion_Frais\Reunion13_20141008\NotedeFraisbilinguemultidevises(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xls)TABLE DES MATIÈRES"/>
      <sheetName val="LISTE VALIDATION"/>
      <sheetName val="RAPPORT DÉPENSE-FR."/>
    </sheetNames>
    <sheetDataSet>
      <sheetData sheetId="0" refreshError="1"/>
      <sheetData sheetId="1">
        <row r="3">
          <cell r="A3" t="str">
            <v>Employé1</v>
          </cell>
        </row>
        <row r="4">
          <cell r="A4" t="str">
            <v>Employé2</v>
          </cell>
        </row>
        <row r="5">
          <cell r="A5" t="str">
            <v>Employé3</v>
          </cell>
        </row>
        <row r="6">
          <cell r="A6" t="str">
            <v>Employé4</v>
          </cell>
        </row>
        <row r="7">
          <cell r="A7" t="str">
            <v>Employé5</v>
          </cell>
        </row>
        <row r="8">
          <cell r="A8" t="str">
            <v>Employé6</v>
          </cell>
        </row>
        <row r="9">
          <cell r="A9" t="str">
            <v>Employé7</v>
          </cell>
        </row>
        <row r="10">
          <cell r="A10" t="str">
            <v>Employé8</v>
          </cell>
        </row>
        <row r="11">
          <cell r="A11" t="str">
            <v>Employé9</v>
          </cell>
        </row>
        <row r="12">
          <cell r="A12" t="str">
            <v>Employé10</v>
          </cell>
        </row>
        <row r="13">
          <cell r="A13" t="str">
            <v>Employé11</v>
          </cell>
        </row>
        <row r="14">
          <cell r="A14" t="str">
            <v>Employé12</v>
          </cell>
        </row>
        <row r="15">
          <cell r="A15" t="str">
            <v>Employé13</v>
          </cell>
        </row>
        <row r="16">
          <cell r="A16" t="str">
            <v>Employé14</v>
          </cell>
        </row>
        <row r="17">
          <cell r="A17" t="str">
            <v>Employé15</v>
          </cell>
        </row>
        <row r="18">
          <cell r="A18" t="str">
            <v>Employé16</v>
          </cell>
        </row>
        <row r="19">
          <cell r="A19" t="str">
            <v>Employé17</v>
          </cell>
        </row>
        <row r="20">
          <cell r="A20" t="str">
            <v>Employé18</v>
          </cell>
        </row>
        <row r="21">
          <cell r="A21" t="str">
            <v>Employé19</v>
          </cell>
        </row>
        <row r="22">
          <cell r="A22" t="str">
            <v>Employé20</v>
          </cell>
        </row>
        <row r="23">
          <cell r="A23" t="str">
            <v>Employé21</v>
          </cell>
        </row>
        <row r="24">
          <cell r="A24" t="str">
            <v>Employé22</v>
          </cell>
        </row>
        <row r="25">
          <cell r="A25" t="str">
            <v>Employé23</v>
          </cell>
        </row>
        <row r="26">
          <cell r="A26" t="str">
            <v>Employé24</v>
          </cell>
        </row>
        <row r="27">
          <cell r="A27" t="str">
            <v>Employé25</v>
          </cell>
        </row>
        <row r="28">
          <cell r="A28" t="str">
            <v>Employé26</v>
          </cell>
        </row>
        <row r="29">
          <cell r="A29" t="str">
            <v>Employé27</v>
          </cell>
        </row>
        <row r="30">
          <cell r="A30" t="str">
            <v>Employé28</v>
          </cell>
        </row>
        <row r="31">
          <cell r="A31" t="str">
            <v>Employé29</v>
          </cell>
        </row>
        <row r="32">
          <cell r="A32" t="str">
            <v>Employé30</v>
          </cell>
        </row>
        <row r="33">
          <cell r="A33" t="str">
            <v>Employé31</v>
          </cell>
        </row>
        <row r="34">
          <cell r="A34" t="str">
            <v>Employé32</v>
          </cell>
        </row>
        <row r="35">
          <cell r="A35" t="str">
            <v>Employé33</v>
          </cell>
        </row>
        <row r="36">
          <cell r="A36" t="str">
            <v>Employé34</v>
          </cell>
        </row>
        <row r="37">
          <cell r="A37" t="str">
            <v>Employé35</v>
          </cell>
        </row>
        <row r="38">
          <cell r="A38" t="str">
            <v>Employé36</v>
          </cell>
        </row>
        <row r="39">
          <cell r="A39" t="str">
            <v>Employé37</v>
          </cell>
        </row>
        <row r="40">
          <cell r="A40" t="str">
            <v>.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>
    <tabColor rgb="FF92D050"/>
    <pageSetUpPr fitToPage="1"/>
  </sheetPr>
  <dimension ref="A2:AI70"/>
  <sheetViews>
    <sheetView showGridLines="0" tabSelected="1" zoomScale="70" zoomScaleNormal="70" workbookViewId="0">
      <pane xSplit="5" ySplit="17" topLeftCell="F18" activePane="bottomRight" state="frozen"/>
      <selection activeCell="D17" sqref="D17"/>
      <selection pane="topRight" activeCell="D17" sqref="D17"/>
      <selection pane="bottomLeft" activeCell="D17" sqref="D17"/>
      <selection pane="bottomRight" activeCell="N9" sqref="N9"/>
    </sheetView>
  </sheetViews>
  <sheetFormatPr baseColWidth="10" defaultColWidth="11.5546875" defaultRowHeight="13.2" outlineLevelCol="1" x14ac:dyDescent="0.25"/>
  <cols>
    <col min="1" max="1" width="45.109375" style="70" customWidth="1"/>
    <col min="2" max="4" width="11.5546875" style="70" hidden="1" customWidth="1" outlineLevel="1"/>
    <col min="5" max="5" width="21.6640625" style="70" hidden="1" customWidth="1" outlineLevel="1"/>
    <col min="6" max="6" width="36.88671875" style="71" customWidth="1" collapsed="1"/>
    <col min="7" max="7" width="24.21875" style="70" customWidth="1"/>
    <col min="8" max="9" width="29.21875" style="70" hidden="1" customWidth="1" outlineLevel="1"/>
    <col min="10" max="10" width="36.88671875" style="71" customWidth="1" collapsed="1"/>
    <col min="11" max="11" width="24.21875" style="70" customWidth="1"/>
    <col min="12" max="13" width="29.21875" style="70" hidden="1" customWidth="1" outlineLevel="1"/>
    <col min="14" max="14" width="36.88671875" style="71" customWidth="1" collapsed="1"/>
    <col min="15" max="15" width="24.21875" style="70" customWidth="1"/>
    <col min="16" max="17" width="29.21875" style="70" hidden="1" customWidth="1" outlineLevel="1"/>
    <col min="18" max="18" width="36.88671875" style="71" customWidth="1" collapsed="1"/>
    <col min="19" max="19" width="24.21875" style="70" customWidth="1"/>
    <col min="20" max="21" width="29.21875" style="70" hidden="1" customWidth="1" outlineLevel="1"/>
    <col min="22" max="22" width="36.88671875" style="71" customWidth="1" collapsed="1"/>
    <col min="23" max="23" width="24.21875" style="70" customWidth="1"/>
    <col min="24" max="24" width="11.5546875" style="70" hidden="1" customWidth="1" outlineLevel="1"/>
    <col min="25" max="25" width="17.5546875" style="70" hidden="1" customWidth="1" outlineLevel="1"/>
    <col min="26" max="26" width="21.21875" style="70" customWidth="1" collapsed="1"/>
    <col min="27" max="27" width="21.21875" style="70" customWidth="1"/>
    <col min="28" max="28" width="16.88671875" style="70" hidden="1" customWidth="1" outlineLevel="1"/>
    <col min="29" max="29" width="16.109375" style="70" hidden="1" customWidth="1" outlineLevel="1"/>
    <col min="30" max="30" width="16.33203125" style="70" customWidth="1" collapsed="1"/>
    <col min="31" max="31" width="19.6640625" style="70" customWidth="1"/>
    <col min="32" max="32" width="11.5546875" style="70" customWidth="1"/>
    <col min="33" max="33" width="11.5546875" style="70"/>
    <col min="34" max="35" width="11.5546875" style="70" customWidth="1"/>
    <col min="36" max="16384" width="11.5546875" style="70"/>
  </cols>
  <sheetData>
    <row r="2" spans="1:35" ht="9" customHeight="1" x14ac:dyDescent="0.25">
      <c r="F2" s="310" t="s">
        <v>7</v>
      </c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</row>
    <row r="3" spans="1:35" ht="9" customHeight="1" x14ac:dyDescent="0.25"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310"/>
      <c r="U3" s="310"/>
      <c r="V3" s="310"/>
      <c r="W3" s="310"/>
    </row>
    <row r="4" spans="1:35" ht="9" customHeight="1" x14ac:dyDescent="0.25">
      <c r="F4" s="310"/>
      <c r="G4" s="310"/>
      <c r="H4" s="310"/>
      <c r="I4" s="310"/>
      <c r="J4" s="310"/>
      <c r="K4" s="310"/>
      <c r="L4" s="310"/>
      <c r="M4" s="310"/>
      <c r="N4" s="310"/>
      <c r="O4" s="310"/>
      <c r="P4" s="310"/>
      <c r="Q4" s="310"/>
      <c r="R4" s="310"/>
      <c r="S4" s="310"/>
      <c r="T4" s="310"/>
      <c r="U4" s="310"/>
      <c r="V4" s="310"/>
      <c r="W4" s="310"/>
    </row>
    <row r="5" spans="1:35" ht="9" customHeight="1" x14ac:dyDescent="0.25">
      <c r="F5" s="310"/>
      <c r="G5" s="310"/>
      <c r="H5" s="310"/>
      <c r="I5" s="310"/>
      <c r="J5" s="310"/>
      <c r="K5" s="310"/>
      <c r="L5" s="310"/>
      <c r="M5" s="310"/>
      <c r="N5" s="310"/>
      <c r="O5" s="310"/>
      <c r="P5" s="310"/>
      <c r="Q5" s="310"/>
      <c r="R5" s="310"/>
      <c r="S5" s="310"/>
      <c r="T5" s="310"/>
      <c r="U5" s="310"/>
      <c r="V5" s="310"/>
      <c r="W5" s="310"/>
    </row>
    <row r="7" spans="1:35" ht="26.4" customHeight="1" x14ac:dyDescent="0.25"/>
    <row r="8" spans="1:35" x14ac:dyDescent="0.25">
      <c r="A8" s="311"/>
      <c r="B8" s="311"/>
      <c r="C8" s="311"/>
      <c r="D8" s="311"/>
      <c r="N8" s="70"/>
    </row>
    <row r="9" spans="1:35" ht="32.4" customHeight="1" thickBot="1" x14ac:dyDescent="0.35">
      <c r="A9" s="311"/>
      <c r="B9" s="311"/>
      <c r="C9" s="311"/>
      <c r="D9" s="311"/>
      <c r="K9" s="253" t="s">
        <v>1470</v>
      </c>
      <c r="L9" s="72"/>
      <c r="M9" s="73"/>
      <c r="N9" s="263"/>
      <c r="O9" s="249"/>
      <c r="S9" s="253" t="s">
        <v>403</v>
      </c>
      <c r="T9" s="74" t="str">
        <f>IFERROR(VLOOKUP(UPPER($L$9),'REF ANALYTIQUE'!$T:$V,3,0),"-")</f>
        <v>-</v>
      </c>
      <c r="U9" s="75"/>
      <c r="V9" s="252" t="str">
        <f>IFERROR(VLOOKUP(UPPER($N$9),'REF ANALYTIQUE'!$T:$V,3,0),"-")</f>
        <v>-</v>
      </c>
      <c r="W9" s="175"/>
    </row>
    <row r="10" spans="1:35" ht="13.8" thickTop="1" x14ac:dyDescent="0.25">
      <c r="L10" s="71"/>
      <c r="N10" s="70"/>
      <c r="T10" s="71"/>
      <c r="V10" s="70"/>
    </row>
    <row r="11" spans="1:35" ht="14.4" customHeight="1" x14ac:dyDescent="0.25">
      <c r="F11" s="262" t="s">
        <v>1492</v>
      </c>
      <c r="G11" s="71"/>
      <c r="K11" s="262" t="s">
        <v>1491</v>
      </c>
      <c r="L11" s="71"/>
      <c r="N11" s="70"/>
      <c r="T11" s="71"/>
      <c r="V11" s="70"/>
    </row>
    <row r="12" spans="1:35" ht="32.4" customHeight="1" thickBot="1" x14ac:dyDescent="0.35">
      <c r="F12" s="253" t="s">
        <v>150</v>
      </c>
      <c r="G12" s="248"/>
      <c r="K12" s="253" t="s">
        <v>126</v>
      </c>
      <c r="L12" s="76"/>
      <c r="M12" s="73"/>
      <c r="N12" s="264"/>
      <c r="O12" s="250"/>
      <c r="S12" s="253" t="s">
        <v>404</v>
      </c>
      <c r="T12" s="74" t="str">
        <f>IFERROR(VLOOKUP(UPPER($L$9),'REF ANALYTIQUE'!$T:$V,2,0),"-")</f>
        <v>-</v>
      </c>
      <c r="U12" s="77"/>
      <c r="V12" s="251" t="str">
        <f>IFERROR(VLOOKUP(UPPER($N$9),'REF ANALYTIQUE'!$T:$V,2,0),"-")</f>
        <v>-</v>
      </c>
      <c r="W12" s="176"/>
    </row>
    <row r="13" spans="1:35" ht="13.8" thickTop="1" x14ac:dyDescent="0.25">
      <c r="G13" s="71"/>
      <c r="H13" s="71"/>
      <c r="I13" s="71"/>
      <c r="K13" s="71"/>
      <c r="L13" s="71"/>
      <c r="M13" s="71"/>
      <c r="O13" s="71"/>
      <c r="P13" s="71"/>
      <c r="Q13" s="71"/>
      <c r="S13" s="71"/>
      <c r="T13" s="71"/>
      <c r="U13" s="71"/>
      <c r="V13" s="78"/>
      <c r="W13" s="71"/>
      <c r="X13" s="71"/>
      <c r="Y13" s="71"/>
    </row>
    <row r="14" spans="1:35" s="79" customFormat="1" x14ac:dyDescent="0.25">
      <c r="E14" s="70"/>
      <c r="F14" s="71" t="s">
        <v>8</v>
      </c>
      <c r="G14" s="71" t="s">
        <v>8</v>
      </c>
      <c r="H14" s="71" t="s">
        <v>151</v>
      </c>
      <c r="I14" s="71" t="s">
        <v>155</v>
      </c>
      <c r="J14" s="71" t="s">
        <v>8</v>
      </c>
      <c r="K14" s="71" t="s">
        <v>8</v>
      </c>
      <c r="L14" s="71" t="s">
        <v>151</v>
      </c>
      <c r="M14" s="71" t="s">
        <v>155</v>
      </c>
      <c r="N14" s="71" t="s">
        <v>8</v>
      </c>
      <c r="O14" s="71" t="s">
        <v>8</v>
      </c>
      <c r="P14" s="71" t="s">
        <v>151</v>
      </c>
      <c r="Q14" s="71" t="s">
        <v>155</v>
      </c>
      <c r="R14" s="71" t="s">
        <v>8</v>
      </c>
      <c r="S14" s="71" t="s">
        <v>8</v>
      </c>
      <c r="T14" s="71" t="s">
        <v>151</v>
      </c>
      <c r="U14" s="71" t="s">
        <v>155</v>
      </c>
      <c r="V14" s="71" t="s">
        <v>8</v>
      </c>
      <c r="W14" s="71" t="s">
        <v>8</v>
      </c>
      <c r="X14" s="71" t="s">
        <v>151</v>
      </c>
      <c r="Y14" s="71" t="s">
        <v>155</v>
      </c>
    </row>
    <row r="15" spans="1:35" ht="25.5" customHeight="1" x14ac:dyDescent="0.25">
      <c r="A15" s="80"/>
      <c r="B15" s="80"/>
      <c r="C15" s="80"/>
      <c r="D15" s="80"/>
      <c r="F15" s="312" t="s">
        <v>1495</v>
      </c>
      <c r="G15" s="313"/>
      <c r="H15" s="313"/>
      <c r="I15" s="313"/>
      <c r="J15" s="313"/>
      <c r="K15" s="313"/>
      <c r="L15" s="313"/>
      <c r="M15" s="313"/>
      <c r="N15" s="313"/>
      <c r="O15" s="313"/>
      <c r="P15" s="313"/>
      <c r="Q15" s="313"/>
      <c r="R15" s="313"/>
      <c r="S15" s="313"/>
      <c r="T15" s="313"/>
      <c r="U15" s="313"/>
      <c r="V15" s="313"/>
      <c r="W15" s="314"/>
      <c r="X15" s="177"/>
      <c r="Y15" s="178"/>
      <c r="AG15" s="80"/>
      <c r="AH15" s="315"/>
      <c r="AI15" s="315"/>
    </row>
    <row r="16" spans="1:35" ht="40.200000000000003" thickBot="1" x14ac:dyDescent="0.3">
      <c r="A16" s="81"/>
      <c r="B16" s="82" t="s">
        <v>1490</v>
      </c>
      <c r="C16" s="83" t="s">
        <v>1489</v>
      </c>
      <c r="D16" s="84" t="s">
        <v>127</v>
      </c>
      <c r="E16" s="85" t="s">
        <v>128</v>
      </c>
      <c r="F16" s="184" t="s">
        <v>1467</v>
      </c>
      <c r="G16" s="189" t="str">
        <f>F16</f>
        <v>DATE 1</v>
      </c>
      <c r="H16" s="86" t="str">
        <f>+G16</f>
        <v>DATE 1</v>
      </c>
      <c r="I16" s="86" t="str">
        <f>+G16</f>
        <v>DATE 1</v>
      </c>
      <c r="J16" s="179" t="s">
        <v>1481</v>
      </c>
      <c r="K16" s="189" t="str">
        <f>J16</f>
        <v>DATE 2</v>
      </c>
      <c r="L16" s="86" t="str">
        <f>+K16</f>
        <v>DATE 2</v>
      </c>
      <c r="M16" s="86" t="str">
        <f>+K16</f>
        <v>DATE 2</v>
      </c>
      <c r="N16" s="179" t="s">
        <v>1487</v>
      </c>
      <c r="O16" s="189" t="str">
        <f>N16</f>
        <v>DATE 3</v>
      </c>
      <c r="P16" s="86" t="str">
        <f>+O16</f>
        <v>DATE 3</v>
      </c>
      <c r="Q16" s="86" t="str">
        <f>+O16</f>
        <v>DATE 3</v>
      </c>
      <c r="R16" s="179" t="s">
        <v>1468</v>
      </c>
      <c r="S16" s="189" t="str">
        <f>R16</f>
        <v>DATE 4</v>
      </c>
      <c r="T16" s="86" t="str">
        <f>+S16</f>
        <v>DATE 4</v>
      </c>
      <c r="U16" s="86" t="str">
        <f>+S16</f>
        <v>DATE 4</v>
      </c>
      <c r="V16" s="179" t="s">
        <v>1469</v>
      </c>
      <c r="W16" s="189" t="str">
        <f>V16</f>
        <v>DATE 5</v>
      </c>
      <c r="X16" s="185" t="str">
        <f>+W16</f>
        <v>DATE 5</v>
      </c>
      <c r="Y16" s="87" t="str">
        <f>+W16</f>
        <v>DATE 5</v>
      </c>
    </row>
    <row r="17" spans="1:29" ht="12.75" customHeight="1" x14ac:dyDescent="0.25">
      <c r="A17" s="206"/>
      <c r="B17" s="207"/>
      <c r="C17" s="208"/>
      <c r="D17" s="209"/>
      <c r="E17" s="210"/>
      <c r="F17" s="211"/>
      <c r="G17" s="257" t="s">
        <v>1486</v>
      </c>
      <c r="H17" s="212"/>
      <c r="I17" s="212"/>
      <c r="J17" s="211"/>
      <c r="K17" s="257" t="s">
        <v>1486</v>
      </c>
      <c r="L17" s="213"/>
      <c r="M17" s="213"/>
      <c r="N17" s="211"/>
      <c r="O17" s="256" t="s">
        <v>1486</v>
      </c>
      <c r="P17" s="213"/>
      <c r="Q17" s="213"/>
      <c r="R17" s="265"/>
      <c r="S17" s="256" t="s">
        <v>1486</v>
      </c>
      <c r="T17" s="213"/>
      <c r="U17" s="213"/>
      <c r="V17" s="265"/>
      <c r="W17" s="261" t="s">
        <v>1486</v>
      </c>
      <c r="X17" s="185"/>
      <c r="Y17" s="88"/>
    </row>
    <row r="18" spans="1:29" s="89" customFormat="1" ht="15.6" x14ac:dyDescent="0.3">
      <c r="A18" s="214" t="s">
        <v>129</v>
      </c>
      <c r="B18" s="107"/>
      <c r="C18" s="107"/>
      <c r="D18" s="108"/>
      <c r="E18" s="109"/>
      <c r="F18" s="268"/>
      <c r="G18" s="240">
        <f>F18</f>
        <v>0</v>
      </c>
      <c r="H18" s="110">
        <f>G18</f>
        <v>0</v>
      </c>
      <c r="I18" s="111">
        <f t="shared" ref="I18:I21" si="0">H18</f>
        <v>0</v>
      </c>
      <c r="J18" s="268"/>
      <c r="K18" s="240">
        <f>J18</f>
        <v>0</v>
      </c>
      <c r="L18" s="112">
        <f>K18</f>
        <v>0</v>
      </c>
      <c r="M18" s="112">
        <f t="shared" ref="M18:M21" si="1">L18</f>
        <v>0</v>
      </c>
      <c r="N18" s="269"/>
      <c r="O18" s="238">
        <f>N18</f>
        <v>0</v>
      </c>
      <c r="P18" s="112">
        <f>O18</f>
        <v>0</v>
      </c>
      <c r="Q18" s="112">
        <f t="shared" ref="Q18:Q21" si="2">P18</f>
        <v>0</v>
      </c>
      <c r="R18" s="269"/>
      <c r="S18" s="238">
        <f>R18</f>
        <v>0</v>
      </c>
      <c r="T18" s="112">
        <f>S18</f>
        <v>0</v>
      </c>
      <c r="U18" s="112">
        <f t="shared" ref="U18:U21" si="3">T18</f>
        <v>0</v>
      </c>
      <c r="V18" s="270"/>
      <c r="W18" s="236">
        <f>V18</f>
        <v>0</v>
      </c>
      <c r="X18" s="110">
        <f>W18</f>
        <v>0</v>
      </c>
      <c r="Y18" s="112">
        <f t="shared" ref="Y18:Y21" si="4">X18</f>
        <v>0</v>
      </c>
      <c r="Z18" s="113"/>
      <c r="AA18" s="113"/>
    </row>
    <row r="19" spans="1:29" ht="15.6" hidden="1" x14ac:dyDescent="0.3">
      <c r="A19" s="215" t="s">
        <v>1475</v>
      </c>
      <c r="B19" s="114"/>
      <c r="C19" s="114"/>
      <c r="D19" s="115"/>
      <c r="E19" s="116"/>
      <c r="F19" s="271"/>
      <c r="G19" s="241" t="str">
        <f>IFERROR(VLOOKUP(G$21,'REF ANALYTIQUE'!$H:$I,2,0),"-")</f>
        <v>-</v>
      </c>
      <c r="H19" s="117" t="str">
        <f>G19</f>
        <v>-</v>
      </c>
      <c r="I19" s="117" t="str">
        <f>H19</f>
        <v>-</v>
      </c>
      <c r="J19" s="271"/>
      <c r="K19" s="241" t="str">
        <f>IFERROR(VLOOKUP(K$21,'REF ANALYTIQUE'!$H:$I,2,0),"-")</f>
        <v>-</v>
      </c>
      <c r="L19" s="118" t="str">
        <f>K19</f>
        <v>-</v>
      </c>
      <c r="M19" s="118" t="str">
        <f>L19</f>
        <v>-</v>
      </c>
      <c r="N19" s="271"/>
      <c r="O19" s="168" t="str">
        <f>IFERROR(VLOOKUP(O$21,'REF ANALYTIQUE'!$H:$I,2,0),"-")</f>
        <v>-</v>
      </c>
      <c r="P19" s="118" t="str">
        <f>O19</f>
        <v>-</v>
      </c>
      <c r="Q19" s="118" t="str">
        <f>P19</f>
        <v>-</v>
      </c>
      <c r="R19" s="271"/>
      <c r="S19" s="168" t="str">
        <f>IFERROR(VLOOKUP(S$21,'REF ANALYTIQUE'!$H:$I,2,0),"-")</f>
        <v>-</v>
      </c>
      <c r="T19" s="118" t="str">
        <f>S19</f>
        <v>-</v>
      </c>
      <c r="U19" s="118" t="str">
        <f>T19</f>
        <v>-</v>
      </c>
      <c r="V19" s="272"/>
      <c r="W19" s="173" t="str">
        <f>IFERROR(VLOOKUP(W$21,'REF ANALYTIQUE'!$H:$I,2,0),"-")</f>
        <v>-</v>
      </c>
      <c r="X19" s="120" t="str">
        <f>W19</f>
        <v>-</v>
      </c>
      <c r="Y19" s="118" t="str">
        <f>X19</f>
        <v>-</v>
      </c>
      <c r="Z19" s="106"/>
      <c r="AA19" s="106"/>
      <c r="AB19" s="90">
        <v>0.42</v>
      </c>
    </row>
    <row r="20" spans="1:29" ht="15.6" x14ac:dyDescent="0.3">
      <c r="A20" s="216" t="s">
        <v>1479</v>
      </c>
      <c r="B20" s="121"/>
      <c r="C20" s="121"/>
      <c r="D20" s="122"/>
      <c r="E20" s="123"/>
      <c r="F20" s="272"/>
      <c r="G20" s="266"/>
      <c r="H20" s="124">
        <f>G20</f>
        <v>0</v>
      </c>
      <c r="I20" s="125">
        <f t="shared" si="0"/>
        <v>0</v>
      </c>
      <c r="J20" s="272"/>
      <c r="K20" s="266"/>
      <c r="L20" s="126">
        <f>K20</f>
        <v>0</v>
      </c>
      <c r="M20" s="126">
        <f t="shared" si="1"/>
        <v>0</v>
      </c>
      <c r="N20" s="272"/>
      <c r="O20" s="273"/>
      <c r="P20" s="126">
        <f>O20</f>
        <v>0</v>
      </c>
      <c r="Q20" s="126">
        <f t="shared" si="2"/>
        <v>0</v>
      </c>
      <c r="R20" s="272"/>
      <c r="S20" s="273"/>
      <c r="T20" s="126">
        <f>S20</f>
        <v>0</v>
      </c>
      <c r="U20" s="126">
        <f t="shared" si="3"/>
        <v>0</v>
      </c>
      <c r="V20" s="272"/>
      <c r="W20" s="274"/>
      <c r="X20" s="124">
        <f>W20</f>
        <v>0</v>
      </c>
      <c r="Y20" s="126">
        <f t="shared" si="4"/>
        <v>0</v>
      </c>
      <c r="Z20" s="106"/>
      <c r="AA20" s="106"/>
    </row>
    <row r="21" spans="1:29" ht="27.6" customHeight="1" x14ac:dyDescent="0.3">
      <c r="A21" s="217" t="s">
        <v>1488</v>
      </c>
      <c r="B21" s="127"/>
      <c r="C21" s="127"/>
      <c r="D21" s="128"/>
      <c r="E21" s="129"/>
      <c r="F21" s="275"/>
      <c r="G21" s="242"/>
      <c r="H21" s="124">
        <f>G21</f>
        <v>0</v>
      </c>
      <c r="I21" s="125">
        <f t="shared" si="0"/>
        <v>0</v>
      </c>
      <c r="J21" s="275"/>
      <c r="K21" s="242"/>
      <c r="L21" s="126">
        <f>K21</f>
        <v>0</v>
      </c>
      <c r="M21" s="126">
        <f t="shared" si="1"/>
        <v>0</v>
      </c>
      <c r="N21" s="275"/>
      <c r="O21" s="169"/>
      <c r="P21" s="126">
        <f>O21</f>
        <v>0</v>
      </c>
      <c r="Q21" s="126">
        <f t="shared" si="2"/>
        <v>0</v>
      </c>
      <c r="R21" s="275"/>
      <c r="S21" s="169"/>
      <c r="T21" s="126">
        <f>S21</f>
        <v>0</v>
      </c>
      <c r="U21" s="126">
        <f t="shared" si="3"/>
        <v>0</v>
      </c>
      <c r="V21" s="275"/>
      <c r="W21" s="174"/>
      <c r="X21" s="131">
        <f>W21</f>
        <v>0</v>
      </c>
      <c r="Y21" s="132">
        <f t="shared" si="4"/>
        <v>0</v>
      </c>
      <c r="Z21" s="106"/>
      <c r="AA21" s="106"/>
      <c r="AB21" s="91"/>
      <c r="AC21" s="91"/>
    </row>
    <row r="22" spans="1:29" ht="44.4" customHeight="1" x14ac:dyDescent="0.25">
      <c r="A22" s="218" t="s">
        <v>1478</v>
      </c>
      <c r="B22" s="164"/>
      <c r="C22" s="164"/>
      <c r="D22" s="165"/>
      <c r="E22" s="166"/>
      <c r="F22" s="276"/>
      <c r="G22" s="267">
        <f>F22</f>
        <v>0</v>
      </c>
      <c r="H22" s="167">
        <f>+G22</f>
        <v>0</v>
      </c>
      <c r="I22" s="167">
        <f>+G22</f>
        <v>0</v>
      </c>
      <c r="J22" s="276"/>
      <c r="K22" s="267">
        <f>+J22</f>
        <v>0</v>
      </c>
      <c r="L22" s="167">
        <f>+K22</f>
        <v>0</v>
      </c>
      <c r="M22" s="167">
        <f>+K22</f>
        <v>0</v>
      </c>
      <c r="N22" s="276"/>
      <c r="O22" s="239">
        <f>+N22</f>
        <v>0</v>
      </c>
      <c r="P22" s="167">
        <f>+O22</f>
        <v>0</v>
      </c>
      <c r="Q22" s="167">
        <f>+O22</f>
        <v>0</v>
      </c>
      <c r="R22" s="276"/>
      <c r="S22" s="239">
        <f>+R22</f>
        <v>0</v>
      </c>
      <c r="T22" s="167">
        <f>+S22</f>
        <v>0</v>
      </c>
      <c r="U22" s="167">
        <f>+S22</f>
        <v>0</v>
      </c>
      <c r="V22" s="276"/>
      <c r="W22" s="237">
        <f>+V22</f>
        <v>0</v>
      </c>
      <c r="X22" s="133">
        <f>+W22</f>
        <v>0</v>
      </c>
      <c r="Y22" s="133">
        <f>+W22</f>
        <v>0</v>
      </c>
      <c r="Z22" s="280" t="s">
        <v>402</v>
      </c>
      <c r="AA22" s="134" t="s">
        <v>401</v>
      </c>
      <c r="AB22" s="92" t="s">
        <v>130</v>
      </c>
      <c r="AC22" s="93" t="s">
        <v>131</v>
      </c>
    </row>
    <row r="23" spans="1:29" ht="36" customHeight="1" x14ac:dyDescent="0.3">
      <c r="A23" s="219" t="s">
        <v>1473</v>
      </c>
      <c r="B23" s="135" t="s">
        <v>20</v>
      </c>
      <c r="C23" s="136">
        <v>6256020</v>
      </c>
      <c r="D23" s="137"/>
      <c r="E23" s="138">
        <v>0</v>
      </c>
      <c r="F23" s="139"/>
      <c r="G23" s="243">
        <f>F23</f>
        <v>0</v>
      </c>
      <c r="H23" s="140">
        <f>G23*$AB$19/(1+$E23)</f>
        <v>0</v>
      </c>
      <c r="I23" s="140">
        <f>G23*$AB$19-H23</f>
        <v>0</v>
      </c>
      <c r="J23" s="139"/>
      <c r="K23" s="243">
        <f t="shared" ref="K23:K41" si="5">J23</f>
        <v>0</v>
      </c>
      <c r="L23" s="141">
        <f>K23*$AB$19/(1+$E23)</f>
        <v>0</v>
      </c>
      <c r="M23" s="141">
        <f>K23*$AB$19-L23</f>
        <v>0</v>
      </c>
      <c r="N23" s="139"/>
      <c r="O23" s="170">
        <f t="shared" ref="O23:O41" si="6">N23</f>
        <v>0</v>
      </c>
      <c r="P23" s="141">
        <f>O23*$AB$19/(1+$E23)</f>
        <v>0</v>
      </c>
      <c r="Q23" s="141">
        <f>O23*$AB$19-P23</f>
        <v>0</v>
      </c>
      <c r="R23" s="139"/>
      <c r="S23" s="170">
        <f>R23</f>
        <v>0</v>
      </c>
      <c r="T23" s="141">
        <f>S23*$AB$19/(1+$E23)</f>
        <v>0</v>
      </c>
      <c r="U23" s="141">
        <f>S23*$AB$19-T23</f>
        <v>0</v>
      </c>
      <c r="V23" s="139"/>
      <c r="W23" s="291">
        <f>V23</f>
        <v>0</v>
      </c>
      <c r="X23" s="220">
        <f>W23*$AB$19/(1+$E23)</f>
        <v>0</v>
      </c>
      <c r="Y23" s="142">
        <f>W23*$AB$19-X23</f>
        <v>0</v>
      </c>
      <c r="Z23" s="281">
        <f>(F23+J23+N23+R23+V23)*$AB$19</f>
        <v>0</v>
      </c>
      <c r="AA23" s="282">
        <f>(G23+K23+O23+S23+W23)*$AB$19</f>
        <v>0</v>
      </c>
      <c r="AB23" s="277">
        <f t="shared" ref="AB23:AB34" si="7">AA23/(1+E23)</f>
        <v>0</v>
      </c>
      <c r="AC23" s="94">
        <f>AA23-AB23</f>
        <v>0</v>
      </c>
    </row>
    <row r="24" spans="1:29" ht="36" customHeight="1" x14ac:dyDescent="0.3">
      <c r="A24" s="221" t="s">
        <v>6</v>
      </c>
      <c r="B24" s="143" t="s">
        <v>12</v>
      </c>
      <c r="C24" s="144">
        <v>6256020</v>
      </c>
      <c r="D24" s="145">
        <v>4456600</v>
      </c>
      <c r="E24" s="146">
        <v>0.2</v>
      </c>
      <c r="F24" s="119"/>
      <c r="G24" s="244">
        <f t="shared" ref="G24:G41" si="8">F24</f>
        <v>0</v>
      </c>
      <c r="H24" s="147">
        <f>G24/(1+$E24)</f>
        <v>0</v>
      </c>
      <c r="I24" s="147">
        <f>G24-H24</f>
        <v>0</v>
      </c>
      <c r="J24" s="119"/>
      <c r="K24" s="244">
        <f t="shared" si="5"/>
        <v>0</v>
      </c>
      <c r="L24" s="148">
        <f>K24/(1+$E24)</f>
        <v>0</v>
      </c>
      <c r="M24" s="148">
        <f>K24-L24</f>
        <v>0</v>
      </c>
      <c r="N24" s="119"/>
      <c r="O24" s="171">
        <f t="shared" si="6"/>
        <v>0</v>
      </c>
      <c r="P24" s="148">
        <f>O24/(1+$E24)</f>
        <v>0</v>
      </c>
      <c r="Q24" s="148">
        <f>O24-P24</f>
        <v>0</v>
      </c>
      <c r="R24" s="119"/>
      <c r="S24" s="171">
        <f t="shared" ref="S24:S41" si="9">R24</f>
        <v>0</v>
      </c>
      <c r="T24" s="148">
        <f>S24/(1+$E24)</f>
        <v>0</v>
      </c>
      <c r="U24" s="148">
        <f>S24-T24</f>
        <v>0</v>
      </c>
      <c r="V24" s="119"/>
      <c r="W24" s="222">
        <f t="shared" ref="W24:W41" si="10">V24</f>
        <v>0</v>
      </c>
      <c r="X24" s="147">
        <f>W24/(1+$E24)</f>
        <v>0</v>
      </c>
      <c r="Y24" s="148">
        <f>W24-X24</f>
        <v>0</v>
      </c>
      <c r="Z24" s="283">
        <f>(F24+J24+N24+R24+V24)</f>
        <v>0</v>
      </c>
      <c r="AA24" s="284">
        <f>(G24+K24+O24+S24+W24)</f>
        <v>0</v>
      </c>
      <c r="AB24" s="278">
        <f t="shared" si="7"/>
        <v>0</v>
      </c>
      <c r="AC24" s="95">
        <f t="shared" ref="AC24:AC34" si="11">AA24-AB24</f>
        <v>0</v>
      </c>
    </row>
    <row r="25" spans="1:29" ht="36" customHeight="1" x14ac:dyDescent="0.3">
      <c r="A25" s="221" t="s">
        <v>1474</v>
      </c>
      <c r="B25" s="143" t="s">
        <v>21</v>
      </c>
      <c r="C25" s="144">
        <v>6256020</v>
      </c>
      <c r="D25" s="145">
        <v>4456600</v>
      </c>
      <c r="E25" s="146">
        <v>0.2</v>
      </c>
      <c r="F25" s="119"/>
      <c r="G25" s="244">
        <f t="shared" si="8"/>
        <v>0</v>
      </c>
      <c r="H25" s="147">
        <f t="shared" ref="H25:H34" si="12">G25/(1+$E25)</f>
        <v>0</v>
      </c>
      <c r="I25" s="147">
        <f t="shared" ref="I25:I34" si="13">G25-H25</f>
        <v>0</v>
      </c>
      <c r="J25" s="119"/>
      <c r="K25" s="244">
        <f t="shared" si="5"/>
        <v>0</v>
      </c>
      <c r="L25" s="148">
        <f t="shared" ref="L25:L34" si="14">K25/(1+$E25)</f>
        <v>0</v>
      </c>
      <c r="M25" s="148">
        <f t="shared" ref="M25:M34" si="15">K25-L25</f>
        <v>0</v>
      </c>
      <c r="N25" s="119"/>
      <c r="O25" s="171">
        <f t="shared" si="6"/>
        <v>0</v>
      </c>
      <c r="P25" s="148">
        <f t="shared" ref="P25:P34" si="16">O25/(1+$E25)</f>
        <v>0</v>
      </c>
      <c r="Q25" s="148">
        <f t="shared" ref="Q25:Q34" si="17">O25-P25</f>
        <v>0</v>
      </c>
      <c r="R25" s="119"/>
      <c r="S25" s="171">
        <f t="shared" si="9"/>
        <v>0</v>
      </c>
      <c r="T25" s="148">
        <f t="shared" ref="T25:T34" si="18">S25/(1+$E25)</f>
        <v>0</v>
      </c>
      <c r="U25" s="148">
        <f t="shared" ref="U25:U34" si="19">S25-T25</f>
        <v>0</v>
      </c>
      <c r="V25" s="119"/>
      <c r="W25" s="222">
        <f t="shared" si="10"/>
        <v>0</v>
      </c>
      <c r="X25" s="147">
        <f t="shared" ref="X25:X34" si="20">W25/(1+$E25)</f>
        <v>0</v>
      </c>
      <c r="Y25" s="148">
        <f t="shared" ref="Y25:Y34" si="21">W25-X25</f>
        <v>0</v>
      </c>
      <c r="Z25" s="283">
        <f>(F25+J25+N25+R25+V25)</f>
        <v>0</v>
      </c>
      <c r="AA25" s="284">
        <f>(G25+K25+O25+S25+W25)</f>
        <v>0</v>
      </c>
      <c r="AB25" s="278">
        <f t="shared" si="7"/>
        <v>0</v>
      </c>
      <c r="AC25" s="95">
        <f t="shared" si="11"/>
        <v>0</v>
      </c>
    </row>
    <row r="26" spans="1:29" ht="36" customHeight="1" x14ac:dyDescent="0.3">
      <c r="A26" s="221" t="s">
        <v>5</v>
      </c>
      <c r="B26" s="143" t="s">
        <v>29</v>
      </c>
      <c r="C26" s="144">
        <v>6256020</v>
      </c>
      <c r="D26" s="145">
        <v>4456600</v>
      </c>
      <c r="E26" s="146">
        <v>0.2</v>
      </c>
      <c r="F26" s="119"/>
      <c r="G26" s="244">
        <f t="shared" si="8"/>
        <v>0</v>
      </c>
      <c r="H26" s="147">
        <f t="shared" si="12"/>
        <v>0</v>
      </c>
      <c r="I26" s="147">
        <f t="shared" si="13"/>
        <v>0</v>
      </c>
      <c r="J26" s="119"/>
      <c r="K26" s="244">
        <f t="shared" si="5"/>
        <v>0</v>
      </c>
      <c r="L26" s="148">
        <f t="shared" si="14"/>
        <v>0</v>
      </c>
      <c r="M26" s="148">
        <f t="shared" si="15"/>
        <v>0</v>
      </c>
      <c r="N26" s="119"/>
      <c r="O26" s="171">
        <f t="shared" si="6"/>
        <v>0</v>
      </c>
      <c r="P26" s="148">
        <f t="shared" si="16"/>
        <v>0</v>
      </c>
      <c r="Q26" s="148">
        <f t="shared" si="17"/>
        <v>0</v>
      </c>
      <c r="R26" s="119"/>
      <c r="S26" s="171">
        <f t="shared" si="9"/>
        <v>0</v>
      </c>
      <c r="T26" s="148">
        <f t="shared" si="18"/>
        <v>0</v>
      </c>
      <c r="U26" s="148">
        <f t="shared" si="19"/>
        <v>0</v>
      </c>
      <c r="V26" s="119"/>
      <c r="W26" s="222">
        <f t="shared" si="10"/>
        <v>0</v>
      </c>
      <c r="X26" s="147">
        <f t="shared" si="20"/>
        <v>0</v>
      </c>
      <c r="Y26" s="148">
        <f t="shared" si="21"/>
        <v>0</v>
      </c>
      <c r="Z26" s="283">
        <f t="shared" ref="Z26:Z34" si="22">(F26+J26+N26+R26+V26)</f>
        <v>0</v>
      </c>
      <c r="AA26" s="284">
        <f>(G26+K26+O26+S26+W26)</f>
        <v>0</v>
      </c>
      <c r="AB26" s="278">
        <f t="shared" si="7"/>
        <v>0</v>
      </c>
      <c r="AC26" s="95">
        <f t="shared" si="11"/>
        <v>0</v>
      </c>
    </row>
    <row r="27" spans="1:29" ht="36" customHeight="1" x14ac:dyDescent="0.3">
      <c r="A27" s="221" t="s">
        <v>132</v>
      </c>
      <c r="B27" s="143" t="s">
        <v>31</v>
      </c>
      <c r="C27" s="144">
        <v>6256020</v>
      </c>
      <c r="D27" s="145">
        <v>4456600</v>
      </c>
      <c r="E27" s="146">
        <v>0.2</v>
      </c>
      <c r="F27" s="119"/>
      <c r="G27" s="244">
        <f t="shared" si="8"/>
        <v>0</v>
      </c>
      <c r="H27" s="147">
        <f t="shared" si="12"/>
        <v>0</v>
      </c>
      <c r="I27" s="147">
        <f t="shared" si="13"/>
        <v>0</v>
      </c>
      <c r="J27" s="119"/>
      <c r="K27" s="244">
        <f t="shared" si="5"/>
        <v>0</v>
      </c>
      <c r="L27" s="148">
        <f t="shared" si="14"/>
        <v>0</v>
      </c>
      <c r="M27" s="148">
        <f t="shared" si="15"/>
        <v>0</v>
      </c>
      <c r="N27" s="119"/>
      <c r="O27" s="171">
        <f t="shared" si="6"/>
        <v>0</v>
      </c>
      <c r="P27" s="148">
        <f t="shared" si="16"/>
        <v>0</v>
      </c>
      <c r="Q27" s="148">
        <f t="shared" si="17"/>
        <v>0</v>
      </c>
      <c r="R27" s="119"/>
      <c r="S27" s="171">
        <f t="shared" si="9"/>
        <v>0</v>
      </c>
      <c r="T27" s="148">
        <f t="shared" si="18"/>
        <v>0</v>
      </c>
      <c r="U27" s="148">
        <f t="shared" si="19"/>
        <v>0</v>
      </c>
      <c r="V27" s="119"/>
      <c r="W27" s="222">
        <f t="shared" si="10"/>
        <v>0</v>
      </c>
      <c r="X27" s="147">
        <f t="shared" si="20"/>
        <v>0</v>
      </c>
      <c r="Y27" s="148">
        <f t="shared" si="21"/>
        <v>0</v>
      </c>
      <c r="Z27" s="283">
        <f>(F27+J27+N27+R27+V27)</f>
        <v>0</v>
      </c>
      <c r="AA27" s="284">
        <f t="shared" ref="AA27:AA34" si="23">(G27+K27+O27+S27+W27)</f>
        <v>0</v>
      </c>
      <c r="AB27" s="278">
        <f t="shared" si="7"/>
        <v>0</v>
      </c>
      <c r="AC27" s="95">
        <f t="shared" si="11"/>
        <v>0</v>
      </c>
    </row>
    <row r="28" spans="1:29" ht="36" customHeight="1" x14ac:dyDescent="0.3">
      <c r="A28" s="221" t="s">
        <v>134</v>
      </c>
      <c r="B28" s="143" t="s">
        <v>26</v>
      </c>
      <c r="C28" s="144">
        <v>6256020</v>
      </c>
      <c r="D28" s="145"/>
      <c r="E28" s="146">
        <v>0</v>
      </c>
      <c r="F28" s="119"/>
      <c r="G28" s="244">
        <f t="shared" si="8"/>
        <v>0</v>
      </c>
      <c r="H28" s="147">
        <f t="shared" si="12"/>
        <v>0</v>
      </c>
      <c r="I28" s="147">
        <f t="shared" si="13"/>
        <v>0</v>
      </c>
      <c r="J28" s="119"/>
      <c r="K28" s="244">
        <f t="shared" si="5"/>
        <v>0</v>
      </c>
      <c r="L28" s="148">
        <f t="shared" si="14"/>
        <v>0</v>
      </c>
      <c r="M28" s="148">
        <f t="shared" si="15"/>
        <v>0</v>
      </c>
      <c r="N28" s="119"/>
      <c r="O28" s="171">
        <f t="shared" si="6"/>
        <v>0</v>
      </c>
      <c r="P28" s="148">
        <f t="shared" si="16"/>
        <v>0</v>
      </c>
      <c r="Q28" s="148">
        <f t="shared" si="17"/>
        <v>0</v>
      </c>
      <c r="R28" s="119"/>
      <c r="S28" s="171">
        <f t="shared" si="9"/>
        <v>0</v>
      </c>
      <c r="T28" s="148">
        <f t="shared" si="18"/>
        <v>0</v>
      </c>
      <c r="U28" s="148">
        <f t="shared" si="19"/>
        <v>0</v>
      </c>
      <c r="V28" s="119"/>
      <c r="W28" s="222">
        <f t="shared" si="10"/>
        <v>0</v>
      </c>
      <c r="X28" s="147">
        <f t="shared" si="20"/>
        <v>0</v>
      </c>
      <c r="Y28" s="148">
        <f t="shared" si="21"/>
        <v>0</v>
      </c>
      <c r="Z28" s="283">
        <f t="shared" si="22"/>
        <v>0</v>
      </c>
      <c r="AA28" s="284">
        <f t="shared" si="23"/>
        <v>0</v>
      </c>
      <c r="AB28" s="278">
        <f t="shared" si="7"/>
        <v>0</v>
      </c>
      <c r="AC28" s="95">
        <f t="shared" si="11"/>
        <v>0</v>
      </c>
    </row>
    <row r="29" spans="1:29" ht="36" customHeight="1" x14ac:dyDescent="0.3">
      <c r="A29" s="221" t="s">
        <v>136</v>
      </c>
      <c r="B29" s="143" t="s">
        <v>23</v>
      </c>
      <c r="C29" s="144">
        <v>6256020</v>
      </c>
      <c r="D29" s="145">
        <v>4456600</v>
      </c>
      <c r="E29" s="146">
        <v>0.1</v>
      </c>
      <c r="F29" s="119"/>
      <c r="G29" s="244">
        <f t="shared" si="8"/>
        <v>0</v>
      </c>
      <c r="H29" s="147">
        <f t="shared" si="12"/>
        <v>0</v>
      </c>
      <c r="I29" s="147">
        <f t="shared" si="13"/>
        <v>0</v>
      </c>
      <c r="J29" s="119"/>
      <c r="K29" s="244">
        <f t="shared" si="5"/>
        <v>0</v>
      </c>
      <c r="L29" s="148">
        <f t="shared" si="14"/>
        <v>0</v>
      </c>
      <c r="M29" s="148">
        <f t="shared" si="15"/>
        <v>0</v>
      </c>
      <c r="N29" s="119"/>
      <c r="O29" s="171">
        <f t="shared" si="6"/>
        <v>0</v>
      </c>
      <c r="P29" s="148">
        <f t="shared" si="16"/>
        <v>0</v>
      </c>
      <c r="Q29" s="148">
        <f t="shared" si="17"/>
        <v>0</v>
      </c>
      <c r="R29" s="119"/>
      <c r="S29" s="171">
        <f t="shared" si="9"/>
        <v>0</v>
      </c>
      <c r="T29" s="148">
        <f t="shared" si="18"/>
        <v>0</v>
      </c>
      <c r="U29" s="148">
        <f t="shared" si="19"/>
        <v>0</v>
      </c>
      <c r="V29" s="119"/>
      <c r="W29" s="222">
        <f t="shared" si="10"/>
        <v>0</v>
      </c>
      <c r="X29" s="147">
        <f t="shared" si="20"/>
        <v>0</v>
      </c>
      <c r="Y29" s="148">
        <f t="shared" si="21"/>
        <v>0</v>
      </c>
      <c r="Z29" s="283">
        <f t="shared" si="22"/>
        <v>0</v>
      </c>
      <c r="AA29" s="284">
        <f t="shared" si="23"/>
        <v>0</v>
      </c>
      <c r="AB29" s="278">
        <f t="shared" si="7"/>
        <v>0</v>
      </c>
      <c r="AC29" s="95">
        <f t="shared" si="11"/>
        <v>0</v>
      </c>
    </row>
    <row r="30" spans="1:29" ht="36" customHeight="1" x14ac:dyDescent="0.3">
      <c r="A30" s="221" t="s">
        <v>137</v>
      </c>
      <c r="B30" s="143" t="s">
        <v>23</v>
      </c>
      <c r="C30" s="144">
        <v>6256020</v>
      </c>
      <c r="D30" s="145">
        <v>4456600</v>
      </c>
      <c r="E30" s="146">
        <v>0.1</v>
      </c>
      <c r="F30" s="119"/>
      <c r="G30" s="244">
        <f t="shared" si="8"/>
        <v>0</v>
      </c>
      <c r="H30" s="147">
        <f t="shared" si="12"/>
        <v>0</v>
      </c>
      <c r="I30" s="147">
        <f t="shared" si="13"/>
        <v>0</v>
      </c>
      <c r="J30" s="119"/>
      <c r="K30" s="244">
        <f t="shared" si="5"/>
        <v>0</v>
      </c>
      <c r="L30" s="148">
        <f t="shared" si="14"/>
        <v>0</v>
      </c>
      <c r="M30" s="148">
        <f t="shared" si="15"/>
        <v>0</v>
      </c>
      <c r="N30" s="119"/>
      <c r="O30" s="171">
        <f t="shared" si="6"/>
        <v>0</v>
      </c>
      <c r="P30" s="148">
        <f t="shared" si="16"/>
        <v>0</v>
      </c>
      <c r="Q30" s="148">
        <f t="shared" si="17"/>
        <v>0</v>
      </c>
      <c r="R30" s="119"/>
      <c r="S30" s="171">
        <f t="shared" si="9"/>
        <v>0</v>
      </c>
      <c r="T30" s="148">
        <f t="shared" si="18"/>
        <v>0</v>
      </c>
      <c r="U30" s="148">
        <f t="shared" si="19"/>
        <v>0</v>
      </c>
      <c r="V30" s="119"/>
      <c r="W30" s="222">
        <f t="shared" si="10"/>
        <v>0</v>
      </c>
      <c r="X30" s="147">
        <f t="shared" si="20"/>
        <v>0</v>
      </c>
      <c r="Y30" s="148">
        <f t="shared" si="21"/>
        <v>0</v>
      </c>
      <c r="Z30" s="283">
        <f t="shared" si="22"/>
        <v>0</v>
      </c>
      <c r="AA30" s="284">
        <f t="shared" si="23"/>
        <v>0</v>
      </c>
      <c r="AB30" s="278">
        <f t="shared" si="7"/>
        <v>0</v>
      </c>
      <c r="AC30" s="95">
        <f t="shared" si="11"/>
        <v>0</v>
      </c>
    </row>
    <row r="31" spans="1:29" ht="36" customHeight="1" x14ac:dyDescent="0.3">
      <c r="A31" s="221" t="s">
        <v>1493</v>
      </c>
      <c r="B31" s="143" t="s">
        <v>23</v>
      </c>
      <c r="C31" s="144">
        <v>6256020</v>
      </c>
      <c r="D31" s="145">
        <v>4456600</v>
      </c>
      <c r="E31" s="146">
        <v>0.1</v>
      </c>
      <c r="F31" s="119"/>
      <c r="G31" s="244">
        <f t="shared" si="8"/>
        <v>0</v>
      </c>
      <c r="H31" s="147">
        <f t="shared" si="12"/>
        <v>0</v>
      </c>
      <c r="I31" s="147">
        <f t="shared" si="13"/>
        <v>0</v>
      </c>
      <c r="J31" s="119"/>
      <c r="K31" s="244">
        <f t="shared" si="5"/>
        <v>0</v>
      </c>
      <c r="L31" s="148">
        <f t="shared" si="14"/>
        <v>0</v>
      </c>
      <c r="M31" s="148">
        <f t="shared" si="15"/>
        <v>0</v>
      </c>
      <c r="N31" s="119"/>
      <c r="O31" s="171">
        <f t="shared" si="6"/>
        <v>0</v>
      </c>
      <c r="P31" s="148">
        <f t="shared" si="16"/>
        <v>0</v>
      </c>
      <c r="Q31" s="148">
        <f t="shared" si="17"/>
        <v>0</v>
      </c>
      <c r="R31" s="119"/>
      <c r="S31" s="171">
        <f t="shared" si="9"/>
        <v>0</v>
      </c>
      <c r="T31" s="148">
        <f t="shared" si="18"/>
        <v>0</v>
      </c>
      <c r="U31" s="148">
        <f t="shared" si="19"/>
        <v>0</v>
      </c>
      <c r="V31" s="119"/>
      <c r="W31" s="222">
        <f t="shared" si="10"/>
        <v>0</v>
      </c>
      <c r="X31" s="147">
        <f t="shared" si="20"/>
        <v>0</v>
      </c>
      <c r="Y31" s="148">
        <f t="shared" si="21"/>
        <v>0</v>
      </c>
      <c r="Z31" s="283">
        <f t="shared" si="22"/>
        <v>0</v>
      </c>
      <c r="AA31" s="284">
        <f t="shared" si="23"/>
        <v>0</v>
      </c>
      <c r="AB31" s="278">
        <f t="shared" si="7"/>
        <v>0</v>
      </c>
      <c r="AC31" s="95">
        <f t="shared" si="11"/>
        <v>0</v>
      </c>
    </row>
    <row r="32" spans="1:29" ht="36" customHeight="1" x14ac:dyDescent="0.3">
      <c r="A32" s="221" t="s">
        <v>1</v>
      </c>
      <c r="B32" s="143" t="s">
        <v>16</v>
      </c>
      <c r="C32" s="144">
        <v>6256020</v>
      </c>
      <c r="D32" s="145">
        <v>4456600</v>
      </c>
      <c r="E32" s="146">
        <v>0.1</v>
      </c>
      <c r="F32" s="119"/>
      <c r="G32" s="244">
        <f t="shared" si="8"/>
        <v>0</v>
      </c>
      <c r="H32" s="147">
        <f t="shared" si="12"/>
        <v>0</v>
      </c>
      <c r="I32" s="147">
        <f t="shared" si="13"/>
        <v>0</v>
      </c>
      <c r="J32" s="119"/>
      <c r="K32" s="244">
        <f t="shared" si="5"/>
        <v>0</v>
      </c>
      <c r="L32" s="148">
        <f t="shared" si="14"/>
        <v>0</v>
      </c>
      <c r="M32" s="148">
        <f t="shared" si="15"/>
        <v>0</v>
      </c>
      <c r="N32" s="119"/>
      <c r="O32" s="171">
        <f t="shared" si="6"/>
        <v>0</v>
      </c>
      <c r="P32" s="148">
        <f t="shared" si="16"/>
        <v>0</v>
      </c>
      <c r="Q32" s="148">
        <f t="shared" si="17"/>
        <v>0</v>
      </c>
      <c r="R32" s="119"/>
      <c r="S32" s="171">
        <f t="shared" si="9"/>
        <v>0</v>
      </c>
      <c r="T32" s="148">
        <f t="shared" si="18"/>
        <v>0</v>
      </c>
      <c r="U32" s="148">
        <f t="shared" si="19"/>
        <v>0</v>
      </c>
      <c r="V32" s="119"/>
      <c r="W32" s="222">
        <f t="shared" si="10"/>
        <v>0</v>
      </c>
      <c r="X32" s="147">
        <f t="shared" si="20"/>
        <v>0</v>
      </c>
      <c r="Y32" s="148">
        <f t="shared" si="21"/>
        <v>0</v>
      </c>
      <c r="Z32" s="283">
        <f t="shared" si="22"/>
        <v>0</v>
      </c>
      <c r="AA32" s="284">
        <f t="shared" si="23"/>
        <v>0</v>
      </c>
      <c r="AB32" s="278">
        <f t="shared" si="7"/>
        <v>0</v>
      </c>
      <c r="AC32" s="95">
        <f t="shared" si="11"/>
        <v>0</v>
      </c>
    </row>
    <row r="33" spans="1:29" ht="36" customHeight="1" x14ac:dyDescent="0.3">
      <c r="A33" s="223" t="s">
        <v>1472</v>
      </c>
      <c r="B33" s="149" t="s">
        <v>11</v>
      </c>
      <c r="C33" s="150">
        <v>6256020</v>
      </c>
      <c r="D33" s="151"/>
      <c r="E33" s="146">
        <v>0</v>
      </c>
      <c r="F33" s="130"/>
      <c r="G33" s="245">
        <f t="shared" si="8"/>
        <v>0</v>
      </c>
      <c r="H33" s="152">
        <f t="shared" si="12"/>
        <v>0</v>
      </c>
      <c r="I33" s="152">
        <f t="shared" si="13"/>
        <v>0</v>
      </c>
      <c r="J33" s="130"/>
      <c r="K33" s="245">
        <f t="shared" si="5"/>
        <v>0</v>
      </c>
      <c r="L33" s="153">
        <f t="shared" si="14"/>
        <v>0</v>
      </c>
      <c r="M33" s="153">
        <f t="shared" si="15"/>
        <v>0</v>
      </c>
      <c r="N33" s="130"/>
      <c r="O33" s="172">
        <f t="shared" si="6"/>
        <v>0</v>
      </c>
      <c r="P33" s="153">
        <f t="shared" si="16"/>
        <v>0</v>
      </c>
      <c r="Q33" s="153">
        <f t="shared" si="17"/>
        <v>0</v>
      </c>
      <c r="R33" s="130"/>
      <c r="S33" s="172">
        <f t="shared" si="9"/>
        <v>0</v>
      </c>
      <c r="T33" s="153">
        <f t="shared" si="18"/>
        <v>0</v>
      </c>
      <c r="U33" s="153">
        <f t="shared" si="19"/>
        <v>0</v>
      </c>
      <c r="V33" s="130"/>
      <c r="W33" s="224">
        <f t="shared" si="10"/>
        <v>0</v>
      </c>
      <c r="X33" s="152">
        <f t="shared" si="20"/>
        <v>0</v>
      </c>
      <c r="Y33" s="153">
        <f t="shared" si="21"/>
        <v>0</v>
      </c>
      <c r="Z33" s="283">
        <f t="shared" si="22"/>
        <v>0</v>
      </c>
      <c r="AA33" s="284">
        <f t="shared" si="23"/>
        <v>0</v>
      </c>
      <c r="AB33" s="278">
        <f t="shared" si="7"/>
        <v>0</v>
      </c>
      <c r="AC33" s="95">
        <f t="shared" si="11"/>
        <v>0</v>
      </c>
    </row>
    <row r="34" spans="1:29" ht="36" customHeight="1" x14ac:dyDescent="0.3">
      <c r="A34" s="223" t="s">
        <v>135</v>
      </c>
      <c r="B34" s="149" t="s">
        <v>120</v>
      </c>
      <c r="C34" s="150">
        <v>6155000</v>
      </c>
      <c r="D34" s="151">
        <v>4456600</v>
      </c>
      <c r="E34" s="154">
        <v>0.2</v>
      </c>
      <c r="F34" s="130"/>
      <c r="G34" s="245">
        <f t="shared" si="8"/>
        <v>0</v>
      </c>
      <c r="H34" s="152">
        <f t="shared" si="12"/>
        <v>0</v>
      </c>
      <c r="I34" s="152">
        <f t="shared" si="13"/>
        <v>0</v>
      </c>
      <c r="J34" s="130"/>
      <c r="K34" s="245">
        <f t="shared" si="5"/>
        <v>0</v>
      </c>
      <c r="L34" s="153">
        <f t="shared" si="14"/>
        <v>0</v>
      </c>
      <c r="M34" s="153">
        <f t="shared" si="15"/>
        <v>0</v>
      </c>
      <c r="N34" s="130"/>
      <c r="O34" s="172">
        <f t="shared" si="6"/>
        <v>0</v>
      </c>
      <c r="P34" s="153">
        <f t="shared" si="16"/>
        <v>0</v>
      </c>
      <c r="Q34" s="153">
        <f t="shared" si="17"/>
        <v>0</v>
      </c>
      <c r="R34" s="130"/>
      <c r="S34" s="172">
        <f t="shared" si="9"/>
        <v>0</v>
      </c>
      <c r="T34" s="153">
        <f t="shared" si="18"/>
        <v>0</v>
      </c>
      <c r="U34" s="153">
        <f t="shared" si="19"/>
        <v>0</v>
      </c>
      <c r="V34" s="130"/>
      <c r="W34" s="224">
        <f t="shared" si="10"/>
        <v>0</v>
      </c>
      <c r="X34" s="152">
        <f t="shared" si="20"/>
        <v>0</v>
      </c>
      <c r="Y34" s="153">
        <f t="shared" si="21"/>
        <v>0</v>
      </c>
      <c r="Z34" s="283">
        <f t="shared" si="22"/>
        <v>0</v>
      </c>
      <c r="AA34" s="284">
        <f t="shared" si="23"/>
        <v>0</v>
      </c>
      <c r="AB34" s="278">
        <f t="shared" si="7"/>
        <v>0</v>
      </c>
      <c r="AC34" s="95">
        <f t="shared" si="11"/>
        <v>0</v>
      </c>
    </row>
    <row r="35" spans="1:29" ht="15.6" x14ac:dyDescent="0.3">
      <c r="A35" s="289" t="s">
        <v>1482</v>
      </c>
      <c r="B35" s="155"/>
      <c r="C35" s="156"/>
      <c r="D35" s="157"/>
      <c r="E35" s="158"/>
      <c r="F35" s="159"/>
      <c r="G35" s="246"/>
      <c r="H35" s="161"/>
      <c r="I35" s="161"/>
      <c r="J35" s="159"/>
      <c r="K35" s="246"/>
      <c r="L35" s="162"/>
      <c r="M35" s="162"/>
      <c r="N35" s="159"/>
      <c r="O35" s="160"/>
      <c r="P35" s="162"/>
      <c r="Q35" s="162"/>
      <c r="R35" s="159"/>
      <c r="S35" s="160"/>
      <c r="T35" s="162"/>
      <c r="U35" s="162"/>
      <c r="V35" s="159"/>
      <c r="W35" s="225"/>
      <c r="X35" s="161"/>
      <c r="Y35" s="162"/>
      <c r="Z35" s="285"/>
      <c r="AA35" s="286"/>
      <c r="AB35" s="279"/>
      <c r="AC35" s="96"/>
    </row>
    <row r="36" spans="1:29" ht="36" customHeight="1" x14ac:dyDescent="0.3">
      <c r="A36" s="223" t="s">
        <v>1494</v>
      </c>
      <c r="B36" s="149" t="s">
        <v>116</v>
      </c>
      <c r="C36" s="150">
        <v>6135817</v>
      </c>
      <c r="D36" s="151">
        <v>4456600</v>
      </c>
      <c r="E36" s="154">
        <v>0.2</v>
      </c>
      <c r="F36" s="130"/>
      <c r="G36" s="245">
        <f t="shared" si="8"/>
        <v>0</v>
      </c>
      <c r="H36" s="152">
        <f t="shared" ref="H36:H41" si="24">G36/(1+$E36)</f>
        <v>0</v>
      </c>
      <c r="I36" s="152">
        <f t="shared" ref="I36:I41" si="25">G36-H36</f>
        <v>0</v>
      </c>
      <c r="J36" s="130"/>
      <c r="K36" s="245">
        <f t="shared" si="5"/>
        <v>0</v>
      </c>
      <c r="L36" s="153">
        <f t="shared" ref="L36:L41" si="26">K36/(1+$E36)</f>
        <v>0</v>
      </c>
      <c r="M36" s="153">
        <f t="shared" ref="M36:M41" si="27">K36-L36</f>
        <v>0</v>
      </c>
      <c r="N36" s="130"/>
      <c r="O36" s="172">
        <f t="shared" si="6"/>
        <v>0</v>
      </c>
      <c r="P36" s="153">
        <f t="shared" ref="P36:P41" si="28">O36/(1+$E36)</f>
        <v>0</v>
      </c>
      <c r="Q36" s="153">
        <f t="shared" ref="Q36:Q41" si="29">O36-P36</f>
        <v>0</v>
      </c>
      <c r="R36" s="130"/>
      <c r="S36" s="172">
        <f t="shared" si="9"/>
        <v>0</v>
      </c>
      <c r="T36" s="153">
        <f t="shared" ref="T36:T41" si="30">S36/(1+$E36)</f>
        <v>0</v>
      </c>
      <c r="U36" s="153">
        <f t="shared" ref="U36:U41" si="31">S36-T36</f>
        <v>0</v>
      </c>
      <c r="V36" s="130"/>
      <c r="W36" s="224">
        <f t="shared" si="10"/>
        <v>0</v>
      </c>
      <c r="X36" s="152">
        <f t="shared" ref="X36:X41" si="32">W36/(1+$E36)</f>
        <v>0</v>
      </c>
      <c r="Y36" s="153">
        <f t="shared" ref="Y36:Y41" si="33">W36-X36</f>
        <v>0</v>
      </c>
      <c r="Z36" s="283">
        <f>(F36+J36+N36+R36+V36)</f>
        <v>0</v>
      </c>
      <c r="AA36" s="284">
        <f>(G36+K36+O36+S36+W36)</f>
        <v>0</v>
      </c>
      <c r="AB36" s="278">
        <f t="shared" ref="AB36:AB41" si="34">AA36/(1+E36)</f>
        <v>0</v>
      </c>
      <c r="AC36" s="95">
        <f t="shared" ref="AC36:AC41" si="35">AA36-AB36</f>
        <v>0</v>
      </c>
    </row>
    <row r="37" spans="1:29" ht="36" customHeight="1" x14ac:dyDescent="0.3">
      <c r="A37" s="223" t="s">
        <v>138</v>
      </c>
      <c r="B37" s="149" t="s">
        <v>103</v>
      </c>
      <c r="C37" s="150">
        <v>6064000</v>
      </c>
      <c r="D37" s="151">
        <v>4456600</v>
      </c>
      <c r="E37" s="154">
        <v>0.2</v>
      </c>
      <c r="F37" s="130"/>
      <c r="G37" s="245">
        <f t="shared" si="8"/>
        <v>0</v>
      </c>
      <c r="H37" s="152">
        <f t="shared" si="24"/>
        <v>0</v>
      </c>
      <c r="I37" s="152">
        <f t="shared" si="25"/>
        <v>0</v>
      </c>
      <c r="J37" s="130"/>
      <c r="K37" s="245">
        <f t="shared" si="5"/>
        <v>0</v>
      </c>
      <c r="L37" s="153">
        <f t="shared" si="26"/>
        <v>0</v>
      </c>
      <c r="M37" s="153">
        <f t="shared" si="27"/>
        <v>0</v>
      </c>
      <c r="N37" s="130"/>
      <c r="O37" s="172">
        <f t="shared" si="6"/>
        <v>0</v>
      </c>
      <c r="P37" s="153">
        <f t="shared" si="28"/>
        <v>0</v>
      </c>
      <c r="Q37" s="153">
        <f t="shared" si="29"/>
        <v>0</v>
      </c>
      <c r="R37" s="130"/>
      <c r="S37" s="172">
        <f t="shared" si="9"/>
        <v>0</v>
      </c>
      <c r="T37" s="153">
        <f t="shared" si="30"/>
        <v>0</v>
      </c>
      <c r="U37" s="153">
        <f t="shared" si="31"/>
        <v>0</v>
      </c>
      <c r="V37" s="130"/>
      <c r="W37" s="224">
        <f t="shared" si="10"/>
        <v>0</v>
      </c>
      <c r="X37" s="152">
        <f t="shared" si="32"/>
        <v>0</v>
      </c>
      <c r="Y37" s="153">
        <f t="shared" si="33"/>
        <v>0</v>
      </c>
      <c r="Z37" s="283">
        <f t="shared" ref="Z37:AA41" si="36">(F37+J37+N37+R37+V37)</f>
        <v>0</v>
      </c>
      <c r="AA37" s="284">
        <f t="shared" si="36"/>
        <v>0</v>
      </c>
      <c r="AB37" s="278">
        <f t="shared" si="34"/>
        <v>0</v>
      </c>
      <c r="AC37" s="95">
        <f t="shared" si="35"/>
        <v>0</v>
      </c>
    </row>
    <row r="38" spans="1:29" ht="36" customHeight="1" x14ac:dyDescent="0.3">
      <c r="A38" s="223" t="s">
        <v>1476</v>
      </c>
      <c r="B38" s="149" t="s">
        <v>106</v>
      </c>
      <c r="C38" s="150">
        <v>6068000</v>
      </c>
      <c r="D38" s="151">
        <v>4456600</v>
      </c>
      <c r="E38" s="154">
        <v>0.2</v>
      </c>
      <c r="F38" s="130"/>
      <c r="G38" s="245">
        <f t="shared" si="8"/>
        <v>0</v>
      </c>
      <c r="H38" s="152">
        <f t="shared" si="24"/>
        <v>0</v>
      </c>
      <c r="I38" s="152">
        <f t="shared" si="25"/>
        <v>0</v>
      </c>
      <c r="J38" s="130"/>
      <c r="K38" s="245">
        <f t="shared" si="5"/>
        <v>0</v>
      </c>
      <c r="L38" s="153">
        <f t="shared" si="26"/>
        <v>0</v>
      </c>
      <c r="M38" s="153">
        <f t="shared" si="27"/>
        <v>0</v>
      </c>
      <c r="N38" s="130"/>
      <c r="O38" s="172">
        <f t="shared" si="6"/>
        <v>0</v>
      </c>
      <c r="P38" s="153">
        <f t="shared" si="28"/>
        <v>0</v>
      </c>
      <c r="Q38" s="153">
        <f t="shared" si="29"/>
        <v>0</v>
      </c>
      <c r="R38" s="130"/>
      <c r="S38" s="172">
        <f t="shared" si="9"/>
        <v>0</v>
      </c>
      <c r="T38" s="153">
        <f t="shared" si="30"/>
        <v>0</v>
      </c>
      <c r="U38" s="153">
        <f t="shared" si="31"/>
        <v>0</v>
      </c>
      <c r="V38" s="130"/>
      <c r="W38" s="224">
        <f t="shared" si="10"/>
        <v>0</v>
      </c>
      <c r="X38" s="152">
        <f t="shared" si="32"/>
        <v>0</v>
      </c>
      <c r="Y38" s="153">
        <f t="shared" si="33"/>
        <v>0</v>
      </c>
      <c r="Z38" s="283">
        <f t="shared" si="36"/>
        <v>0</v>
      </c>
      <c r="AA38" s="284">
        <f t="shared" si="36"/>
        <v>0</v>
      </c>
      <c r="AB38" s="278">
        <f t="shared" si="34"/>
        <v>0</v>
      </c>
      <c r="AC38" s="95">
        <f t="shared" si="35"/>
        <v>0</v>
      </c>
    </row>
    <row r="39" spans="1:29" ht="36" customHeight="1" x14ac:dyDescent="0.3">
      <c r="A39" s="223" t="s">
        <v>139</v>
      </c>
      <c r="B39" s="149" t="s">
        <v>94</v>
      </c>
      <c r="C39" s="150">
        <v>6234020</v>
      </c>
      <c r="D39" s="151">
        <v>4456600</v>
      </c>
      <c r="E39" s="154">
        <v>0.2</v>
      </c>
      <c r="F39" s="130"/>
      <c r="G39" s="245">
        <f t="shared" si="8"/>
        <v>0</v>
      </c>
      <c r="H39" s="152">
        <f t="shared" si="24"/>
        <v>0</v>
      </c>
      <c r="I39" s="152">
        <f t="shared" si="25"/>
        <v>0</v>
      </c>
      <c r="J39" s="130"/>
      <c r="K39" s="245">
        <f t="shared" si="5"/>
        <v>0</v>
      </c>
      <c r="L39" s="153">
        <f t="shared" si="26"/>
        <v>0</v>
      </c>
      <c r="M39" s="153">
        <f t="shared" si="27"/>
        <v>0</v>
      </c>
      <c r="N39" s="130"/>
      <c r="O39" s="172">
        <f t="shared" si="6"/>
        <v>0</v>
      </c>
      <c r="P39" s="153">
        <f t="shared" si="28"/>
        <v>0</v>
      </c>
      <c r="Q39" s="153">
        <f t="shared" si="29"/>
        <v>0</v>
      </c>
      <c r="R39" s="130"/>
      <c r="S39" s="172">
        <f t="shared" si="9"/>
        <v>0</v>
      </c>
      <c r="T39" s="153">
        <f t="shared" si="30"/>
        <v>0</v>
      </c>
      <c r="U39" s="153">
        <f t="shared" si="31"/>
        <v>0</v>
      </c>
      <c r="V39" s="130"/>
      <c r="W39" s="224">
        <f t="shared" si="10"/>
        <v>0</v>
      </c>
      <c r="X39" s="152">
        <f t="shared" si="32"/>
        <v>0</v>
      </c>
      <c r="Y39" s="153">
        <f t="shared" si="33"/>
        <v>0</v>
      </c>
      <c r="Z39" s="283">
        <f t="shared" si="36"/>
        <v>0</v>
      </c>
      <c r="AA39" s="284">
        <f t="shared" si="36"/>
        <v>0</v>
      </c>
      <c r="AB39" s="278">
        <f t="shared" si="34"/>
        <v>0</v>
      </c>
      <c r="AC39" s="95">
        <f t="shared" si="35"/>
        <v>0</v>
      </c>
    </row>
    <row r="40" spans="1:29" ht="36" customHeight="1" x14ac:dyDescent="0.3">
      <c r="A40" s="223" t="s">
        <v>1496</v>
      </c>
      <c r="B40" s="149"/>
      <c r="C40" s="150"/>
      <c r="D40" s="151">
        <v>4456600</v>
      </c>
      <c r="E40" s="154">
        <v>0.2</v>
      </c>
      <c r="F40" s="130"/>
      <c r="G40" s="245">
        <f t="shared" si="8"/>
        <v>0</v>
      </c>
      <c r="H40" s="152">
        <f t="shared" si="24"/>
        <v>0</v>
      </c>
      <c r="I40" s="152">
        <f t="shared" si="25"/>
        <v>0</v>
      </c>
      <c r="J40" s="130"/>
      <c r="K40" s="245">
        <f t="shared" si="5"/>
        <v>0</v>
      </c>
      <c r="L40" s="153">
        <f t="shared" si="26"/>
        <v>0</v>
      </c>
      <c r="M40" s="153">
        <f t="shared" si="27"/>
        <v>0</v>
      </c>
      <c r="N40" s="130"/>
      <c r="O40" s="172">
        <f t="shared" si="6"/>
        <v>0</v>
      </c>
      <c r="P40" s="153">
        <f t="shared" si="28"/>
        <v>0</v>
      </c>
      <c r="Q40" s="153">
        <f t="shared" si="29"/>
        <v>0</v>
      </c>
      <c r="R40" s="130"/>
      <c r="S40" s="172">
        <f t="shared" si="9"/>
        <v>0</v>
      </c>
      <c r="T40" s="153">
        <f t="shared" si="30"/>
        <v>0</v>
      </c>
      <c r="U40" s="153">
        <f t="shared" si="31"/>
        <v>0</v>
      </c>
      <c r="V40" s="130"/>
      <c r="W40" s="224">
        <f t="shared" si="10"/>
        <v>0</v>
      </c>
      <c r="X40" s="152">
        <f t="shared" si="32"/>
        <v>0</v>
      </c>
      <c r="Y40" s="153">
        <f t="shared" si="33"/>
        <v>0</v>
      </c>
      <c r="Z40" s="283">
        <f t="shared" si="36"/>
        <v>0</v>
      </c>
      <c r="AA40" s="284">
        <f t="shared" si="36"/>
        <v>0</v>
      </c>
      <c r="AB40" s="278">
        <f t="shared" si="34"/>
        <v>0</v>
      </c>
      <c r="AC40" s="95">
        <f t="shared" si="35"/>
        <v>0</v>
      </c>
    </row>
    <row r="41" spans="1:29" ht="36" customHeight="1" x14ac:dyDescent="0.3">
      <c r="A41" s="223" t="s">
        <v>1496</v>
      </c>
      <c r="B41" s="149"/>
      <c r="C41" s="150"/>
      <c r="D41" s="151">
        <v>4456600</v>
      </c>
      <c r="E41" s="154">
        <v>0.2</v>
      </c>
      <c r="F41" s="130"/>
      <c r="G41" s="245">
        <f t="shared" si="8"/>
        <v>0</v>
      </c>
      <c r="H41" s="152">
        <f t="shared" si="24"/>
        <v>0</v>
      </c>
      <c r="I41" s="152">
        <f t="shared" si="25"/>
        <v>0</v>
      </c>
      <c r="J41" s="130"/>
      <c r="K41" s="245">
        <f t="shared" si="5"/>
        <v>0</v>
      </c>
      <c r="L41" s="153">
        <f t="shared" si="26"/>
        <v>0</v>
      </c>
      <c r="M41" s="153">
        <f t="shared" si="27"/>
        <v>0</v>
      </c>
      <c r="N41" s="130"/>
      <c r="O41" s="172">
        <f t="shared" si="6"/>
        <v>0</v>
      </c>
      <c r="P41" s="153">
        <f t="shared" si="28"/>
        <v>0</v>
      </c>
      <c r="Q41" s="153">
        <f t="shared" si="29"/>
        <v>0</v>
      </c>
      <c r="R41" s="130"/>
      <c r="S41" s="172">
        <f t="shared" si="9"/>
        <v>0</v>
      </c>
      <c r="T41" s="153">
        <f t="shared" si="30"/>
        <v>0</v>
      </c>
      <c r="U41" s="153">
        <f t="shared" si="31"/>
        <v>0</v>
      </c>
      <c r="V41" s="130"/>
      <c r="W41" s="224">
        <f t="shared" si="10"/>
        <v>0</v>
      </c>
      <c r="X41" s="152">
        <f t="shared" si="32"/>
        <v>0</v>
      </c>
      <c r="Y41" s="153">
        <f t="shared" si="33"/>
        <v>0</v>
      </c>
      <c r="Z41" s="283">
        <f t="shared" si="36"/>
        <v>0</v>
      </c>
      <c r="AA41" s="284">
        <f t="shared" si="36"/>
        <v>0</v>
      </c>
      <c r="AB41" s="278">
        <f t="shared" si="34"/>
        <v>0</v>
      </c>
      <c r="AC41" s="95">
        <f t="shared" si="35"/>
        <v>0</v>
      </c>
    </row>
    <row r="42" spans="1:29" s="192" customFormat="1" ht="33.6" customHeight="1" x14ac:dyDescent="0.25">
      <c r="A42" s="288" t="s">
        <v>1480</v>
      </c>
      <c r="B42" s="163"/>
      <c r="C42" s="163"/>
      <c r="D42" s="163"/>
      <c r="E42" s="226"/>
      <c r="F42" s="227">
        <f>(F23*$AB$19)+SUM(F24:F41)</f>
        <v>0</v>
      </c>
      <c r="G42" s="247">
        <f>(G23*$AB$19)+SUM(G24:G41)</f>
        <v>0</v>
      </c>
      <c r="H42" s="228">
        <f>SUM(H23:H41)</f>
        <v>0</v>
      </c>
      <c r="I42" s="229">
        <f>SUM(I23:I41)</f>
        <v>0</v>
      </c>
      <c r="J42" s="227">
        <f>(J23*$AB$19)+SUM(J24:J41)</f>
        <v>0</v>
      </c>
      <c r="K42" s="247">
        <f>(K23*$AB$19)+SUM(K24:K41)</f>
        <v>0</v>
      </c>
      <c r="L42" s="231">
        <f>SUM(L23:L41)</f>
        <v>0</v>
      </c>
      <c r="M42" s="231">
        <f>SUM(M23:M41)</f>
        <v>0</v>
      </c>
      <c r="N42" s="227">
        <f>(N23*$AB$19)+SUM(N24:N41)</f>
        <v>0</v>
      </c>
      <c r="O42" s="230">
        <f>(O23*$AB$19)+SUM(O24:O41)</f>
        <v>0</v>
      </c>
      <c r="P42" s="231">
        <f>SUM(P23:P41)</f>
        <v>0</v>
      </c>
      <c r="Q42" s="231">
        <f>SUM(Q23:Q41)</f>
        <v>0</v>
      </c>
      <c r="R42" s="227">
        <f>(R23*$AB$19)+SUM(R24:R41)</f>
        <v>0</v>
      </c>
      <c r="S42" s="230">
        <f>(S23*$AB$19)+SUM(S24:S41)</f>
        <v>0</v>
      </c>
      <c r="T42" s="231">
        <f>SUM(T23:T41)</f>
        <v>0</v>
      </c>
      <c r="U42" s="231">
        <f>SUM(U23:U41)</f>
        <v>0</v>
      </c>
      <c r="V42" s="227">
        <f>(V23*$AB$19)+SUM(V24:V41)</f>
        <v>0</v>
      </c>
      <c r="W42" s="232">
        <f>(W23*$AB$19)+SUM(W24:W41)</f>
        <v>0</v>
      </c>
      <c r="X42" s="233">
        <f t="shared" ref="X42:AC42" si="37">SUM(X23:X41)</f>
        <v>0</v>
      </c>
      <c r="Y42" s="234">
        <f t="shared" si="37"/>
        <v>0</v>
      </c>
      <c r="Z42" s="287">
        <f t="shared" si="37"/>
        <v>0</v>
      </c>
      <c r="AA42" s="235">
        <f t="shared" si="37"/>
        <v>0</v>
      </c>
      <c r="AB42" s="193">
        <f t="shared" si="37"/>
        <v>0</v>
      </c>
      <c r="AC42" s="194">
        <f t="shared" si="37"/>
        <v>0</v>
      </c>
    </row>
    <row r="43" spans="1:29" ht="13.8" thickBot="1" x14ac:dyDescent="0.3"/>
    <row r="44" spans="1:29" ht="19.8" customHeight="1" thickBot="1" x14ac:dyDescent="0.3">
      <c r="A44" s="202"/>
      <c r="B44" s="203"/>
      <c r="C44" s="203"/>
      <c r="D44" s="203"/>
      <c r="E44" s="203"/>
      <c r="F44" s="204"/>
      <c r="G44" s="203"/>
      <c r="H44" s="203"/>
      <c r="I44" s="203"/>
      <c r="J44" s="204"/>
      <c r="K44" s="203"/>
      <c r="L44" s="203"/>
      <c r="M44" s="203"/>
      <c r="N44" s="204"/>
      <c r="O44" s="203"/>
      <c r="P44" s="203"/>
      <c r="Q44" s="203"/>
      <c r="R44" s="334" t="s">
        <v>1471</v>
      </c>
      <c r="S44" s="334"/>
      <c r="T44" s="334"/>
      <c r="U44" s="334"/>
      <c r="V44" s="334"/>
      <c r="W44" s="203"/>
      <c r="X44" s="180"/>
      <c r="Y44" s="181"/>
      <c r="Z44" s="316"/>
      <c r="AA44" s="317"/>
    </row>
    <row r="45" spans="1:29" ht="22.2" customHeight="1" x14ac:dyDescent="0.25">
      <c r="A45" s="186"/>
      <c r="B45" s="187"/>
      <c r="C45" s="187"/>
      <c r="D45" s="187"/>
      <c r="E45" s="187"/>
      <c r="F45" s="188"/>
      <c r="G45" s="187"/>
      <c r="H45" s="187"/>
      <c r="I45" s="187"/>
      <c r="J45" s="188"/>
      <c r="K45" s="187"/>
      <c r="L45" s="187"/>
      <c r="M45" s="187"/>
      <c r="N45" s="188"/>
      <c r="O45" s="187"/>
      <c r="P45" s="187"/>
      <c r="Q45" s="332" t="s">
        <v>1477</v>
      </c>
      <c r="R45" s="333"/>
      <c r="S45" s="333"/>
      <c r="T45" s="333"/>
      <c r="U45" s="333"/>
      <c r="V45" s="333"/>
      <c r="W45" s="205"/>
      <c r="X45" s="97"/>
      <c r="Y45" s="182"/>
      <c r="Z45" s="254">
        <f>Z42-Z44</f>
        <v>0</v>
      </c>
      <c r="AA45" s="255">
        <f>AA42-Z44</f>
        <v>0</v>
      </c>
    </row>
    <row r="46" spans="1:29" hidden="1" x14ac:dyDescent="0.25"/>
    <row r="47" spans="1:29" hidden="1" x14ac:dyDescent="0.25"/>
    <row r="48" spans="1:29" hidden="1" x14ac:dyDescent="0.25"/>
    <row r="49" spans="1:32" hidden="1" x14ac:dyDescent="0.25"/>
    <row r="50" spans="1:32" hidden="1" x14ac:dyDescent="0.25"/>
    <row r="51" spans="1:32" hidden="1" x14ac:dyDescent="0.25">
      <c r="Y51" s="98" t="s">
        <v>142</v>
      </c>
      <c r="Z51" s="99"/>
      <c r="AA51" s="100"/>
      <c r="AB51" s="79"/>
      <c r="AC51" s="79"/>
      <c r="AD51" s="79"/>
      <c r="AE51" s="79"/>
      <c r="AF51" s="79"/>
    </row>
    <row r="52" spans="1:32" hidden="1" x14ac:dyDescent="0.25"/>
    <row r="53" spans="1:32" hidden="1" x14ac:dyDescent="0.25"/>
    <row r="54" spans="1:32" hidden="1" x14ac:dyDescent="0.25"/>
    <row r="55" spans="1:32" ht="29.4" customHeight="1" x14ac:dyDescent="0.25"/>
    <row r="56" spans="1:32" ht="24" customHeight="1" x14ac:dyDescent="0.25">
      <c r="A56" s="295" t="s">
        <v>141</v>
      </c>
      <c r="B56" s="296"/>
      <c r="C56" s="296"/>
      <c r="D56" s="296"/>
      <c r="E56" s="296"/>
      <c r="F56" s="296"/>
      <c r="G56" s="296"/>
      <c r="H56" s="296"/>
      <c r="I56" s="296"/>
      <c r="J56" s="296"/>
      <c r="K56" s="296"/>
      <c r="L56" s="296"/>
      <c r="M56" s="296"/>
      <c r="N56" s="296"/>
      <c r="O56" s="296"/>
      <c r="P56" s="296"/>
      <c r="Q56" s="296"/>
      <c r="R56" s="296"/>
      <c r="S56" s="296"/>
      <c r="T56" s="296"/>
      <c r="U56" s="296"/>
      <c r="V56" s="296"/>
      <c r="W56" s="296"/>
      <c r="X56" s="296"/>
      <c r="Y56" s="296"/>
      <c r="Z56" s="296"/>
      <c r="AA56" s="296"/>
    </row>
    <row r="57" spans="1:32" s="195" customFormat="1" ht="21" customHeight="1" x14ac:dyDescent="0.25">
      <c r="A57" s="298" t="s">
        <v>9</v>
      </c>
      <c r="B57" s="299"/>
      <c r="C57" s="299"/>
      <c r="D57" s="299"/>
      <c r="E57" s="299"/>
      <c r="F57" s="299"/>
      <c r="G57" s="299"/>
      <c r="H57" s="299"/>
      <c r="I57" s="299"/>
      <c r="J57" s="299"/>
      <c r="K57" s="299"/>
      <c r="L57" s="299"/>
      <c r="M57" s="299"/>
      <c r="N57" s="300"/>
      <c r="O57" s="298" t="s">
        <v>140</v>
      </c>
      <c r="P57" s="299"/>
      <c r="Q57" s="299"/>
      <c r="R57" s="299"/>
      <c r="S57" s="299"/>
      <c r="T57" s="299"/>
      <c r="U57" s="299"/>
      <c r="V57" s="299"/>
      <c r="W57" s="299"/>
      <c r="X57" s="299"/>
      <c r="Y57" s="299"/>
      <c r="Z57" s="299"/>
      <c r="AA57" s="300"/>
    </row>
    <row r="58" spans="1:32" x14ac:dyDescent="0.25">
      <c r="A58" s="301"/>
      <c r="B58" s="302"/>
      <c r="C58" s="302"/>
      <c r="D58" s="302"/>
      <c r="E58" s="302"/>
      <c r="F58" s="302"/>
      <c r="G58" s="302"/>
      <c r="H58" s="302"/>
      <c r="I58" s="302"/>
      <c r="J58" s="302"/>
      <c r="K58" s="302"/>
      <c r="L58" s="302"/>
      <c r="M58" s="302"/>
      <c r="N58" s="303"/>
      <c r="O58" s="321"/>
      <c r="P58" s="322"/>
      <c r="Q58" s="322"/>
      <c r="R58" s="322"/>
      <c r="S58" s="322"/>
      <c r="T58" s="322"/>
      <c r="U58" s="322"/>
      <c r="V58" s="322"/>
      <c r="W58" s="322"/>
      <c r="X58" s="322"/>
      <c r="Y58" s="322"/>
      <c r="Z58" s="322"/>
      <c r="AA58" s="323"/>
    </row>
    <row r="59" spans="1:32" x14ac:dyDescent="0.25">
      <c r="A59" s="304"/>
      <c r="B59" s="305"/>
      <c r="C59" s="305"/>
      <c r="D59" s="305"/>
      <c r="E59" s="305"/>
      <c r="F59" s="305"/>
      <c r="G59" s="305"/>
      <c r="H59" s="305"/>
      <c r="I59" s="305"/>
      <c r="J59" s="305"/>
      <c r="K59" s="305"/>
      <c r="L59" s="305"/>
      <c r="M59" s="305"/>
      <c r="N59" s="306"/>
      <c r="O59" s="324"/>
      <c r="P59" s="325"/>
      <c r="Q59" s="325"/>
      <c r="R59" s="325"/>
      <c r="S59" s="325"/>
      <c r="T59" s="325"/>
      <c r="U59" s="325"/>
      <c r="V59" s="325"/>
      <c r="W59" s="325"/>
      <c r="X59" s="325"/>
      <c r="Y59" s="325"/>
      <c r="Z59" s="325"/>
      <c r="AA59" s="326"/>
    </row>
    <row r="60" spans="1:32" x14ac:dyDescent="0.25">
      <c r="A60" s="304"/>
      <c r="B60" s="305"/>
      <c r="C60" s="305"/>
      <c r="D60" s="305"/>
      <c r="E60" s="305"/>
      <c r="F60" s="305"/>
      <c r="G60" s="305"/>
      <c r="H60" s="305"/>
      <c r="I60" s="305"/>
      <c r="J60" s="305"/>
      <c r="K60" s="305"/>
      <c r="L60" s="305"/>
      <c r="M60" s="305"/>
      <c r="N60" s="306"/>
      <c r="O60" s="324"/>
      <c r="P60" s="325"/>
      <c r="Q60" s="325"/>
      <c r="R60" s="325"/>
      <c r="S60" s="325"/>
      <c r="T60" s="325"/>
      <c r="U60" s="325"/>
      <c r="V60" s="325"/>
      <c r="W60" s="325"/>
      <c r="X60" s="325"/>
      <c r="Y60" s="325"/>
      <c r="Z60" s="325"/>
      <c r="AA60" s="326"/>
    </row>
    <row r="61" spans="1:32" x14ac:dyDescent="0.25">
      <c r="A61" s="304"/>
      <c r="B61" s="305"/>
      <c r="C61" s="305"/>
      <c r="D61" s="305"/>
      <c r="E61" s="305"/>
      <c r="F61" s="305"/>
      <c r="G61" s="305"/>
      <c r="H61" s="305"/>
      <c r="I61" s="305"/>
      <c r="J61" s="305"/>
      <c r="K61" s="305"/>
      <c r="L61" s="305"/>
      <c r="M61" s="305"/>
      <c r="N61" s="306"/>
      <c r="O61" s="324"/>
      <c r="P61" s="325"/>
      <c r="Q61" s="325"/>
      <c r="R61" s="325"/>
      <c r="S61" s="325"/>
      <c r="T61" s="325"/>
      <c r="U61" s="325"/>
      <c r="V61" s="325"/>
      <c r="W61" s="325"/>
      <c r="X61" s="325"/>
      <c r="Y61" s="325"/>
      <c r="Z61" s="325"/>
      <c r="AA61" s="326"/>
    </row>
    <row r="62" spans="1:32" x14ac:dyDescent="0.25">
      <c r="A62" s="307"/>
      <c r="B62" s="308"/>
      <c r="C62" s="308"/>
      <c r="D62" s="308"/>
      <c r="E62" s="308"/>
      <c r="F62" s="308"/>
      <c r="G62" s="308"/>
      <c r="H62" s="308"/>
      <c r="I62" s="308"/>
      <c r="J62" s="308"/>
      <c r="K62" s="308"/>
      <c r="L62" s="308"/>
      <c r="M62" s="308"/>
      <c r="N62" s="309"/>
      <c r="O62" s="327"/>
      <c r="P62" s="328"/>
      <c r="Q62" s="328"/>
      <c r="R62" s="328"/>
      <c r="S62" s="328"/>
      <c r="T62" s="328"/>
      <c r="U62" s="328"/>
      <c r="V62" s="328"/>
      <c r="W62" s="328"/>
      <c r="X62" s="328"/>
      <c r="Y62" s="328"/>
      <c r="Z62" s="328"/>
      <c r="AA62" s="329"/>
    </row>
    <row r="63" spans="1:32" x14ac:dyDescent="0.25">
      <c r="AA63" s="190"/>
    </row>
    <row r="64" spans="1:32" ht="5.25" customHeight="1" x14ac:dyDescent="0.25"/>
    <row r="65" spans="1:27" hidden="1" x14ac:dyDescent="0.25"/>
    <row r="66" spans="1:27" x14ac:dyDescent="0.25">
      <c r="AA66" s="191"/>
    </row>
    <row r="67" spans="1:27" ht="24" customHeight="1" x14ac:dyDescent="0.25">
      <c r="A67" s="295" t="s">
        <v>143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6"/>
      <c r="P67" s="296"/>
      <c r="Q67" s="296"/>
      <c r="R67" s="296"/>
      <c r="S67" s="296"/>
      <c r="T67" s="296"/>
      <c r="U67" s="296"/>
      <c r="V67" s="296"/>
      <c r="W67" s="296"/>
      <c r="X67" s="296"/>
      <c r="Y67" s="296"/>
      <c r="Z67" s="296"/>
      <c r="AA67" s="297"/>
    </row>
    <row r="68" spans="1:27" s="195" customFormat="1" ht="21" customHeight="1" x14ac:dyDescent="0.25">
      <c r="A68" s="290" t="s">
        <v>147</v>
      </c>
      <c r="B68" s="196"/>
      <c r="C68" s="196"/>
      <c r="D68" s="197"/>
      <c r="E68" s="298" t="s">
        <v>144</v>
      </c>
      <c r="F68" s="299"/>
      <c r="G68" s="299"/>
      <c r="H68" s="299"/>
      <c r="I68" s="198"/>
      <c r="J68" s="199"/>
      <c r="K68" s="299" t="s">
        <v>148</v>
      </c>
      <c r="L68" s="299"/>
      <c r="M68" s="299"/>
      <c r="N68" s="300"/>
      <c r="O68" s="198"/>
      <c r="P68" s="200"/>
      <c r="Q68" s="298" t="s">
        <v>145</v>
      </c>
      <c r="R68" s="299"/>
      <c r="S68" s="299"/>
      <c r="T68" s="299"/>
      <c r="U68" s="198"/>
      <c r="V68" s="201"/>
      <c r="W68" s="298" t="s">
        <v>146</v>
      </c>
      <c r="X68" s="299"/>
      <c r="Y68" s="299"/>
      <c r="Z68" s="299"/>
      <c r="AA68" s="300"/>
    </row>
    <row r="69" spans="1:27" ht="89.4" customHeight="1" x14ac:dyDescent="0.25">
      <c r="A69" s="183"/>
      <c r="B69" s="101"/>
      <c r="C69" s="101"/>
      <c r="D69" s="102"/>
      <c r="E69" s="330"/>
      <c r="F69" s="331"/>
      <c r="G69" s="331"/>
      <c r="H69" s="331"/>
      <c r="I69" s="331"/>
      <c r="J69" s="103"/>
      <c r="K69" s="104"/>
      <c r="L69" s="104"/>
      <c r="M69" s="104"/>
      <c r="N69" s="105"/>
      <c r="O69" s="258"/>
      <c r="P69" s="259"/>
      <c r="Q69" s="318"/>
      <c r="R69" s="319"/>
      <c r="S69" s="319"/>
      <c r="T69" s="319"/>
      <c r="U69" s="258"/>
      <c r="V69" s="260"/>
      <c r="W69" s="318"/>
      <c r="X69" s="319"/>
      <c r="Y69" s="319"/>
      <c r="Z69" s="319"/>
      <c r="AA69" s="320"/>
    </row>
    <row r="70" spans="1:27" ht="18" customHeight="1" x14ac:dyDescent="0.25">
      <c r="A70" s="292" t="s">
        <v>133</v>
      </c>
      <c r="B70" s="293"/>
      <c r="C70" s="293"/>
      <c r="D70" s="293"/>
      <c r="E70" s="293"/>
      <c r="F70" s="293"/>
      <c r="G70" s="293"/>
      <c r="H70" s="293"/>
      <c r="I70" s="293"/>
      <c r="J70" s="293"/>
      <c r="K70" s="293"/>
      <c r="L70" s="293"/>
      <c r="M70" s="293"/>
      <c r="N70" s="293"/>
      <c r="O70" s="293"/>
      <c r="P70" s="293"/>
      <c r="Q70" s="293"/>
      <c r="R70" s="293"/>
      <c r="S70" s="293"/>
      <c r="T70" s="293"/>
      <c r="U70" s="293"/>
      <c r="V70" s="293"/>
      <c r="W70" s="293"/>
      <c r="X70" s="293"/>
      <c r="Y70" s="293"/>
      <c r="Z70" s="293"/>
      <c r="AA70" s="294"/>
    </row>
  </sheetData>
  <sheetProtection algorithmName="SHA-512" hashValue="JHmKMIR5zOqNp366pLRfokc/GzxtJnEni6S9L3sUE1W3S1x5WILKDrWnvVX+w1dx7sRq06EhQ4nBOVmakxpNaw==" saltValue="dK2S4ukJ2qL/QLq3dpDE/w==" spinCount="100000" sheet="1" objects="1" scenarios="1" insertRows="0"/>
  <mergeCells count="21">
    <mergeCell ref="AH15:AI15"/>
    <mergeCell ref="Z44:AA44"/>
    <mergeCell ref="Q45:V45"/>
    <mergeCell ref="F2:W5"/>
    <mergeCell ref="R44:V44"/>
    <mergeCell ref="A8:D9"/>
    <mergeCell ref="F15:W15"/>
    <mergeCell ref="W69:AA69"/>
    <mergeCell ref="A70:AA70"/>
    <mergeCell ref="A56:AA56"/>
    <mergeCell ref="O57:AA57"/>
    <mergeCell ref="O58:AA62"/>
    <mergeCell ref="A67:AA67"/>
    <mergeCell ref="W68:AA68"/>
    <mergeCell ref="E69:I69"/>
    <mergeCell ref="Q69:T69"/>
    <mergeCell ref="A57:N57"/>
    <mergeCell ref="A58:N62"/>
    <mergeCell ref="E68:H68"/>
    <mergeCell ref="K68:N68"/>
    <mergeCell ref="Q68:T68"/>
  </mergeCells>
  <conditionalFormatting sqref="AA23:AA41 O23:O41 S23:S41 K23:K41 W23:W41">
    <cfRule type="cellIs" dxfId="2" priority="6" operator="notEqual">
      <formula>J23</formula>
    </cfRule>
  </conditionalFormatting>
  <conditionalFormatting sqref="Z45">
    <cfRule type="cellIs" dxfId="1" priority="5" operator="notEqual">
      <formula>$AA$45</formula>
    </cfRule>
  </conditionalFormatting>
  <conditionalFormatting sqref="G23:G41">
    <cfRule type="cellIs" dxfId="0" priority="1" operator="notEqual">
      <formula>F23</formula>
    </cfRule>
  </conditionalFormatting>
  <pageMargins left="0.7" right="0.7" top="0.75" bottom="0.75" header="0.3" footer="0.3"/>
  <pageSetup paperSize="9" scale="3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GenererMatriceX3">
                <anchor moveWithCells="1" sizeWithCells="1">
                  <from>
                    <xdr:col>27</xdr:col>
                    <xdr:colOff>388620</xdr:colOff>
                    <xdr:row>14</xdr:row>
                    <xdr:rowOff>53340</xdr:rowOff>
                  </from>
                  <to>
                    <xdr:col>28</xdr:col>
                    <xdr:colOff>998220</xdr:colOff>
                    <xdr:row>16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'REF ANALYTIQUE'!$H$5:$H$127</xm:f>
          </x14:formula1>
          <xm:sqref>K21 O21 S21 W21 G21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V510"/>
  <sheetViews>
    <sheetView topLeftCell="G1" zoomScale="90" zoomScaleNormal="90" workbookViewId="0">
      <selection activeCell="T360" sqref="T360"/>
    </sheetView>
  </sheetViews>
  <sheetFormatPr baseColWidth="10" defaultRowHeight="13.8" x14ac:dyDescent="0.3"/>
  <cols>
    <col min="1" max="1" width="7.5546875" style="1" bestFit="1" customWidth="1"/>
    <col min="2" max="2" width="27.88671875" style="1" bestFit="1" customWidth="1"/>
    <col min="3" max="3" width="9.109375" style="1" bestFit="1" customWidth="1"/>
    <col min="4" max="4" width="31.88671875" style="1" bestFit="1" customWidth="1"/>
    <col min="5" max="5" width="22" style="1" customWidth="1"/>
    <col min="6" max="6" width="86.44140625" style="1" bestFit="1" customWidth="1"/>
    <col min="8" max="8" width="35.33203125" bestFit="1" customWidth="1"/>
    <col min="20" max="20" width="38.6640625" bestFit="1" customWidth="1"/>
  </cols>
  <sheetData>
    <row r="1" spans="1:22" ht="15.6" x14ac:dyDescent="0.3">
      <c r="B1" s="2" t="s">
        <v>32</v>
      </c>
      <c r="C1" s="2"/>
      <c r="D1" s="2"/>
      <c r="E1" s="2"/>
      <c r="F1" s="2"/>
      <c r="H1" s="2" t="s">
        <v>400</v>
      </c>
      <c r="I1" s="2"/>
      <c r="N1" s="68" t="s">
        <v>125</v>
      </c>
      <c r="O1" s="69"/>
      <c r="T1" s="67" t="s">
        <v>1466</v>
      </c>
      <c r="U1" s="67" t="s">
        <v>149</v>
      </c>
      <c r="V1" s="67" t="s">
        <v>405</v>
      </c>
    </row>
    <row r="2" spans="1:22" ht="15.6" x14ac:dyDescent="0.3">
      <c r="A2" s="3"/>
      <c r="B2" s="4"/>
      <c r="C2" s="4"/>
      <c r="D2" s="4"/>
      <c r="E2" s="4"/>
      <c r="F2" s="4"/>
      <c r="T2" t="s">
        <v>963</v>
      </c>
      <c r="U2" t="s">
        <v>406</v>
      </c>
      <c r="V2" t="s">
        <v>407</v>
      </c>
    </row>
    <row r="3" spans="1:22" ht="16.2" thickBot="1" x14ac:dyDescent="0.35">
      <c r="A3" s="5" t="s">
        <v>33</v>
      </c>
      <c r="B3" s="6" t="s">
        <v>34</v>
      </c>
      <c r="C3" s="6"/>
      <c r="D3" s="6"/>
      <c r="E3" s="7"/>
      <c r="F3" s="8"/>
      <c r="T3" t="s">
        <v>964</v>
      </c>
      <c r="U3" t="s">
        <v>408</v>
      </c>
      <c r="V3" t="s">
        <v>409</v>
      </c>
    </row>
    <row r="4" spans="1:22" x14ac:dyDescent="0.3">
      <c r="A4" s="9" t="s">
        <v>35</v>
      </c>
      <c r="B4" s="10" t="s">
        <v>36</v>
      </c>
      <c r="C4" s="10"/>
      <c r="D4" s="10"/>
      <c r="E4" s="11"/>
      <c r="F4" s="12"/>
      <c r="H4" s="20" t="s">
        <v>157</v>
      </c>
      <c r="I4" s="21" t="s">
        <v>156</v>
      </c>
      <c r="T4" t="s">
        <v>965</v>
      </c>
      <c r="U4" t="s">
        <v>410</v>
      </c>
      <c r="V4" t="s">
        <v>411</v>
      </c>
    </row>
    <row r="5" spans="1:22" x14ac:dyDescent="0.3">
      <c r="A5" s="13" t="s">
        <v>35</v>
      </c>
      <c r="B5" s="14" t="s">
        <v>37</v>
      </c>
      <c r="C5" s="14"/>
      <c r="D5" s="14"/>
      <c r="E5" s="15"/>
      <c r="F5" s="12"/>
      <c r="H5" t="s">
        <v>284</v>
      </c>
      <c r="I5" t="s">
        <v>283</v>
      </c>
      <c r="T5" t="s">
        <v>966</v>
      </c>
      <c r="U5" t="s">
        <v>412</v>
      </c>
      <c r="V5" t="s">
        <v>413</v>
      </c>
    </row>
    <row r="6" spans="1:22" x14ac:dyDescent="0.3">
      <c r="A6" s="16"/>
      <c r="B6" s="17"/>
      <c r="C6" s="3"/>
      <c r="D6" s="3"/>
      <c r="E6" s="3"/>
      <c r="F6" s="3"/>
      <c r="H6" t="s">
        <v>286</v>
      </c>
      <c r="I6" t="s">
        <v>285</v>
      </c>
      <c r="T6" t="s">
        <v>967</v>
      </c>
      <c r="U6" t="s">
        <v>414</v>
      </c>
      <c r="V6" t="s">
        <v>411</v>
      </c>
    </row>
    <row r="7" spans="1:22" ht="14.4" thickBot="1" x14ac:dyDescent="0.35">
      <c r="A7" s="16"/>
      <c r="B7" s="17"/>
      <c r="C7" s="3"/>
      <c r="D7" s="3"/>
      <c r="E7" s="3"/>
      <c r="F7" s="3"/>
      <c r="H7" t="s">
        <v>288</v>
      </c>
      <c r="I7" t="s">
        <v>287</v>
      </c>
      <c r="T7" t="s">
        <v>968</v>
      </c>
      <c r="U7" t="s">
        <v>415</v>
      </c>
      <c r="V7" t="s">
        <v>416</v>
      </c>
    </row>
    <row r="8" spans="1:22" x14ac:dyDescent="0.3">
      <c r="A8" s="18" t="s">
        <v>38</v>
      </c>
      <c r="B8" s="19" t="s">
        <v>39</v>
      </c>
      <c r="C8" s="19" t="s">
        <v>10</v>
      </c>
      <c r="D8" s="19" t="s">
        <v>40</v>
      </c>
      <c r="E8" s="20" t="s">
        <v>41</v>
      </c>
      <c r="F8" s="21" t="s">
        <v>42</v>
      </c>
      <c r="H8" t="s">
        <v>290</v>
      </c>
      <c r="I8" t="s">
        <v>289</v>
      </c>
      <c r="N8" s="67" t="s">
        <v>124</v>
      </c>
      <c r="O8" s="67" t="s">
        <v>10</v>
      </c>
      <c r="T8" t="s">
        <v>969</v>
      </c>
      <c r="U8" t="s">
        <v>417</v>
      </c>
      <c r="V8" t="s">
        <v>411</v>
      </c>
    </row>
    <row r="9" spans="1:22" ht="14.4" x14ac:dyDescent="0.3">
      <c r="A9" s="22" t="s">
        <v>43</v>
      </c>
      <c r="B9" s="23" t="s">
        <v>44</v>
      </c>
      <c r="C9" s="59" t="s">
        <v>45</v>
      </c>
      <c r="D9" s="23" t="s">
        <v>46</v>
      </c>
      <c r="E9" s="24" t="s">
        <v>47</v>
      </c>
      <c r="F9" s="25" t="s">
        <v>48</v>
      </c>
      <c r="H9" t="s">
        <v>256</v>
      </c>
      <c r="I9" t="s">
        <v>255</v>
      </c>
      <c r="N9" t="s">
        <v>0</v>
      </c>
      <c r="O9" t="s">
        <v>20</v>
      </c>
      <c r="T9" t="s">
        <v>970</v>
      </c>
      <c r="U9" t="s">
        <v>418</v>
      </c>
      <c r="V9" t="s">
        <v>419</v>
      </c>
    </row>
    <row r="10" spans="1:22" ht="14.4" x14ac:dyDescent="0.3">
      <c r="A10" s="26" t="s">
        <v>43</v>
      </c>
      <c r="B10" s="27" t="s">
        <v>44</v>
      </c>
      <c r="C10" s="60" t="s">
        <v>49</v>
      </c>
      <c r="D10" s="28" t="s">
        <v>50</v>
      </c>
      <c r="E10" s="29" t="s">
        <v>47</v>
      </c>
      <c r="F10" s="30" t="s">
        <v>33</v>
      </c>
      <c r="H10" t="s">
        <v>258</v>
      </c>
      <c r="I10" t="s">
        <v>257</v>
      </c>
      <c r="N10" t="s">
        <v>6</v>
      </c>
      <c r="O10" t="s">
        <v>12</v>
      </c>
      <c r="T10" t="s">
        <v>971</v>
      </c>
      <c r="U10" t="s">
        <v>420</v>
      </c>
      <c r="V10" t="s">
        <v>411</v>
      </c>
    </row>
    <row r="11" spans="1:22" ht="14.4" x14ac:dyDescent="0.3">
      <c r="A11" s="26" t="s">
        <v>43</v>
      </c>
      <c r="B11" s="27" t="s">
        <v>44</v>
      </c>
      <c r="C11" s="60" t="s">
        <v>51</v>
      </c>
      <c r="D11" s="28" t="s">
        <v>52</v>
      </c>
      <c r="E11" s="29" t="s">
        <v>47</v>
      </c>
      <c r="F11" s="30" t="s">
        <v>33</v>
      </c>
      <c r="H11" t="s">
        <v>260</v>
      </c>
      <c r="I11" t="s">
        <v>259</v>
      </c>
      <c r="N11" t="s">
        <v>4</v>
      </c>
      <c r="O11" t="s">
        <v>21</v>
      </c>
      <c r="T11" t="s">
        <v>972</v>
      </c>
      <c r="U11" t="s">
        <v>421</v>
      </c>
      <c r="V11" t="s">
        <v>422</v>
      </c>
    </row>
    <row r="12" spans="1:22" ht="14.4" x14ac:dyDescent="0.3">
      <c r="A12" s="26" t="s">
        <v>43</v>
      </c>
      <c r="B12" s="27" t="s">
        <v>44</v>
      </c>
      <c r="C12" s="61" t="s">
        <v>53</v>
      </c>
      <c r="D12" s="27" t="s">
        <v>54</v>
      </c>
      <c r="E12" s="31" t="s">
        <v>47</v>
      </c>
      <c r="F12" s="32" t="s">
        <v>55</v>
      </c>
      <c r="H12" t="s">
        <v>262</v>
      </c>
      <c r="I12" t="s">
        <v>261</v>
      </c>
      <c r="N12" t="s">
        <v>5</v>
      </c>
      <c r="O12" t="s">
        <v>29</v>
      </c>
      <c r="T12" t="s">
        <v>973</v>
      </c>
      <c r="U12" t="s">
        <v>423</v>
      </c>
      <c r="V12" t="s">
        <v>419</v>
      </c>
    </row>
    <row r="13" spans="1:22" ht="14.4" x14ac:dyDescent="0.3">
      <c r="A13" s="26" t="s">
        <v>43</v>
      </c>
      <c r="B13" s="27" t="s">
        <v>44</v>
      </c>
      <c r="C13" s="61" t="s">
        <v>11</v>
      </c>
      <c r="D13" s="27" t="s">
        <v>56</v>
      </c>
      <c r="E13" s="31" t="s">
        <v>47</v>
      </c>
      <c r="F13" s="32" t="s">
        <v>57</v>
      </c>
      <c r="H13" t="s">
        <v>264</v>
      </c>
      <c r="I13" t="s">
        <v>263</v>
      </c>
      <c r="N13" s="58" t="s">
        <v>123</v>
      </c>
      <c r="O13" s="58" t="s">
        <v>31</v>
      </c>
      <c r="T13" t="s">
        <v>974</v>
      </c>
      <c r="U13" t="s">
        <v>424</v>
      </c>
      <c r="V13" t="s">
        <v>411</v>
      </c>
    </row>
    <row r="14" spans="1:22" ht="14.4" x14ac:dyDescent="0.3">
      <c r="A14" s="26" t="s">
        <v>43</v>
      </c>
      <c r="B14" s="27" t="s">
        <v>44</v>
      </c>
      <c r="C14" s="61" t="s">
        <v>12</v>
      </c>
      <c r="D14" s="27" t="s">
        <v>6</v>
      </c>
      <c r="E14" s="31" t="s">
        <v>47</v>
      </c>
      <c r="F14" s="32" t="s">
        <v>58</v>
      </c>
      <c r="H14" t="s">
        <v>266</v>
      </c>
      <c r="I14" t="s">
        <v>265</v>
      </c>
      <c r="N14" t="s">
        <v>2</v>
      </c>
      <c r="O14" t="s">
        <v>23</v>
      </c>
      <c r="T14" t="s">
        <v>975</v>
      </c>
      <c r="U14" t="s">
        <v>425</v>
      </c>
      <c r="V14" t="s">
        <v>411</v>
      </c>
    </row>
    <row r="15" spans="1:22" ht="14.4" x14ac:dyDescent="0.3">
      <c r="A15" s="26" t="s">
        <v>43</v>
      </c>
      <c r="B15" s="27" t="s">
        <v>44</v>
      </c>
      <c r="C15" s="61" t="s">
        <v>13</v>
      </c>
      <c r="D15" s="27" t="s">
        <v>59</v>
      </c>
      <c r="E15" s="31" t="s">
        <v>47</v>
      </c>
      <c r="F15" s="32" t="s">
        <v>60</v>
      </c>
      <c r="H15" t="s">
        <v>268</v>
      </c>
      <c r="I15" t="s">
        <v>267</v>
      </c>
      <c r="N15" t="s">
        <v>3</v>
      </c>
      <c r="O15" t="s">
        <v>23</v>
      </c>
      <c r="T15" t="s">
        <v>976</v>
      </c>
      <c r="U15" t="s">
        <v>426</v>
      </c>
      <c r="V15" t="s">
        <v>409</v>
      </c>
    </row>
    <row r="16" spans="1:22" ht="14.4" x14ac:dyDescent="0.3">
      <c r="A16" s="26" t="s">
        <v>43</v>
      </c>
      <c r="B16" s="27" t="s">
        <v>44</v>
      </c>
      <c r="C16" s="61" t="s">
        <v>15</v>
      </c>
      <c r="D16" s="27" t="s">
        <v>61</v>
      </c>
      <c r="E16" s="31" t="s">
        <v>47</v>
      </c>
      <c r="F16" s="32" t="s">
        <v>62</v>
      </c>
      <c r="H16" t="s">
        <v>345</v>
      </c>
      <c r="I16" t="s">
        <v>344</v>
      </c>
      <c r="N16" t="s">
        <v>1</v>
      </c>
      <c r="O16" t="s">
        <v>16</v>
      </c>
      <c r="T16" t="s">
        <v>977</v>
      </c>
      <c r="U16" t="s">
        <v>427</v>
      </c>
      <c r="V16" t="s">
        <v>428</v>
      </c>
    </row>
    <row r="17" spans="1:22" ht="14.4" x14ac:dyDescent="0.3">
      <c r="A17" s="26" t="s">
        <v>43</v>
      </c>
      <c r="B17" s="27" t="s">
        <v>44</v>
      </c>
      <c r="C17" s="61" t="s">
        <v>16</v>
      </c>
      <c r="D17" s="27" t="s">
        <v>63</v>
      </c>
      <c r="E17" s="31" t="s">
        <v>47</v>
      </c>
      <c r="F17" s="32" t="s">
        <v>17</v>
      </c>
      <c r="H17" t="s">
        <v>347</v>
      </c>
      <c r="I17" t="s">
        <v>346</v>
      </c>
      <c r="T17" t="s">
        <v>978</v>
      </c>
      <c r="U17" t="s">
        <v>429</v>
      </c>
      <c r="V17" t="s">
        <v>411</v>
      </c>
    </row>
    <row r="18" spans="1:22" ht="14.4" x14ac:dyDescent="0.3">
      <c r="A18" s="26" t="s">
        <v>43</v>
      </c>
      <c r="B18" s="27" t="s">
        <v>44</v>
      </c>
      <c r="C18" s="60" t="s">
        <v>18</v>
      </c>
      <c r="D18" s="28" t="s">
        <v>64</v>
      </c>
      <c r="E18" s="29" t="s">
        <v>47</v>
      </c>
      <c r="F18" s="30" t="s">
        <v>33</v>
      </c>
      <c r="H18" t="s">
        <v>349</v>
      </c>
      <c r="I18" t="s">
        <v>348</v>
      </c>
      <c r="T18" t="s">
        <v>979</v>
      </c>
      <c r="U18" t="s">
        <v>430</v>
      </c>
      <c r="V18" t="s">
        <v>411</v>
      </c>
    </row>
    <row r="19" spans="1:22" ht="14.4" x14ac:dyDescent="0.3">
      <c r="A19" s="26" t="s">
        <v>43</v>
      </c>
      <c r="B19" s="27" t="s">
        <v>44</v>
      </c>
      <c r="C19" s="61" t="s">
        <v>19</v>
      </c>
      <c r="D19" s="27" t="s">
        <v>65</v>
      </c>
      <c r="E19" s="31" t="s">
        <v>47</v>
      </c>
      <c r="F19" s="32" t="s">
        <v>66</v>
      </c>
      <c r="H19" t="s">
        <v>248</v>
      </c>
      <c r="I19" t="s">
        <v>247</v>
      </c>
      <c r="T19" t="s">
        <v>980</v>
      </c>
      <c r="U19" t="s">
        <v>431</v>
      </c>
      <c r="V19" t="s">
        <v>432</v>
      </c>
    </row>
    <row r="20" spans="1:22" ht="14.4" x14ac:dyDescent="0.3">
      <c r="A20" s="26" t="s">
        <v>43</v>
      </c>
      <c r="B20" s="27" t="s">
        <v>44</v>
      </c>
      <c r="C20" s="61" t="s">
        <v>20</v>
      </c>
      <c r="D20" s="27" t="s">
        <v>67</v>
      </c>
      <c r="E20" s="31" t="s">
        <v>47</v>
      </c>
      <c r="F20" s="32" t="s">
        <v>68</v>
      </c>
      <c r="H20" t="s">
        <v>250</v>
      </c>
      <c r="I20" t="s">
        <v>249</v>
      </c>
      <c r="T20" t="s">
        <v>981</v>
      </c>
      <c r="U20" t="s">
        <v>433</v>
      </c>
      <c r="V20" t="s">
        <v>411</v>
      </c>
    </row>
    <row r="21" spans="1:22" ht="14.4" x14ac:dyDescent="0.3">
      <c r="A21" s="26" t="s">
        <v>43</v>
      </c>
      <c r="B21" s="27" t="s">
        <v>44</v>
      </c>
      <c r="C21" s="61" t="s">
        <v>21</v>
      </c>
      <c r="D21" s="27" t="s">
        <v>69</v>
      </c>
      <c r="E21" s="31" t="s">
        <v>47</v>
      </c>
      <c r="F21" s="32" t="s">
        <v>22</v>
      </c>
      <c r="H21" t="s">
        <v>252</v>
      </c>
      <c r="I21" t="s">
        <v>251</v>
      </c>
      <c r="T21" t="s">
        <v>982</v>
      </c>
      <c r="U21" t="s">
        <v>434</v>
      </c>
      <c r="V21" t="s">
        <v>428</v>
      </c>
    </row>
    <row r="22" spans="1:22" ht="14.4" x14ac:dyDescent="0.3">
      <c r="A22" s="26" t="s">
        <v>43</v>
      </c>
      <c r="B22" s="27" t="s">
        <v>44</v>
      </c>
      <c r="C22" s="61" t="s">
        <v>23</v>
      </c>
      <c r="D22" s="27" t="s">
        <v>70</v>
      </c>
      <c r="E22" s="31" t="s">
        <v>47</v>
      </c>
      <c r="F22" s="32" t="s">
        <v>24</v>
      </c>
      <c r="H22" t="s">
        <v>254</v>
      </c>
      <c r="I22" t="s">
        <v>253</v>
      </c>
      <c r="T22" t="s">
        <v>983</v>
      </c>
      <c r="U22" t="s">
        <v>435</v>
      </c>
      <c r="V22" t="s">
        <v>436</v>
      </c>
    </row>
    <row r="23" spans="1:22" ht="14.4" x14ac:dyDescent="0.3">
      <c r="A23" s="26" t="s">
        <v>43</v>
      </c>
      <c r="B23" s="27" t="s">
        <v>44</v>
      </c>
      <c r="C23" s="61" t="s">
        <v>25</v>
      </c>
      <c r="D23" s="27" t="s">
        <v>71</v>
      </c>
      <c r="E23" s="31" t="s">
        <v>47</v>
      </c>
      <c r="F23" s="32" t="s">
        <v>72</v>
      </c>
      <c r="H23" t="s">
        <v>393</v>
      </c>
      <c r="I23" t="s">
        <v>392</v>
      </c>
      <c r="T23" t="s">
        <v>984</v>
      </c>
      <c r="U23" t="s">
        <v>437</v>
      </c>
      <c r="V23" t="s">
        <v>428</v>
      </c>
    </row>
    <row r="24" spans="1:22" ht="14.4" x14ac:dyDescent="0.3">
      <c r="A24" s="26" t="s">
        <v>43</v>
      </c>
      <c r="B24" s="27" t="s">
        <v>44</v>
      </c>
      <c r="C24" s="61" t="s">
        <v>26</v>
      </c>
      <c r="D24" s="27" t="s">
        <v>73</v>
      </c>
      <c r="E24" s="31" t="s">
        <v>47</v>
      </c>
      <c r="F24" s="32" t="s">
        <v>74</v>
      </c>
      <c r="H24" t="s">
        <v>395</v>
      </c>
      <c r="I24" t="s">
        <v>394</v>
      </c>
      <c r="T24" t="s">
        <v>985</v>
      </c>
      <c r="U24" t="s">
        <v>438</v>
      </c>
      <c r="V24" t="s">
        <v>439</v>
      </c>
    </row>
    <row r="25" spans="1:22" ht="14.4" x14ac:dyDescent="0.3">
      <c r="A25" s="26" t="s">
        <v>43</v>
      </c>
      <c r="B25" s="27" t="s">
        <v>44</v>
      </c>
      <c r="C25" s="60" t="s">
        <v>27</v>
      </c>
      <c r="D25" s="28" t="s">
        <v>75</v>
      </c>
      <c r="E25" s="29" t="s">
        <v>47</v>
      </c>
      <c r="F25" s="30" t="s">
        <v>33</v>
      </c>
      <c r="H25" t="s">
        <v>397</v>
      </c>
      <c r="I25" t="s">
        <v>396</v>
      </c>
      <c r="T25" t="s">
        <v>986</v>
      </c>
      <c r="U25" t="s">
        <v>440</v>
      </c>
      <c r="V25" t="s">
        <v>411</v>
      </c>
    </row>
    <row r="26" spans="1:22" ht="14.4" x14ac:dyDescent="0.3">
      <c r="A26" s="26" t="s">
        <v>43</v>
      </c>
      <c r="B26" s="27" t="s">
        <v>44</v>
      </c>
      <c r="C26" s="61" t="s">
        <v>28</v>
      </c>
      <c r="D26" s="27" t="s">
        <v>76</v>
      </c>
      <c r="E26" s="31" t="s">
        <v>47</v>
      </c>
      <c r="F26" s="32" t="s">
        <v>77</v>
      </c>
      <c r="H26" t="s">
        <v>387</v>
      </c>
      <c r="I26" t="s">
        <v>386</v>
      </c>
      <c r="T26" t="s">
        <v>987</v>
      </c>
      <c r="U26" t="s">
        <v>441</v>
      </c>
      <c r="V26" t="s">
        <v>409</v>
      </c>
    </row>
    <row r="27" spans="1:22" ht="14.4" x14ac:dyDescent="0.3">
      <c r="A27" s="26" t="s">
        <v>43</v>
      </c>
      <c r="B27" s="27" t="s">
        <v>44</v>
      </c>
      <c r="C27" s="61" t="s">
        <v>29</v>
      </c>
      <c r="D27" s="27" t="s">
        <v>78</v>
      </c>
      <c r="E27" s="31" t="s">
        <v>47</v>
      </c>
      <c r="F27" s="32" t="s">
        <v>30</v>
      </c>
      <c r="H27" t="s">
        <v>389</v>
      </c>
      <c r="I27" t="s">
        <v>388</v>
      </c>
      <c r="T27" t="s">
        <v>988</v>
      </c>
      <c r="U27" t="s">
        <v>442</v>
      </c>
      <c r="V27" t="s">
        <v>411</v>
      </c>
    </row>
    <row r="28" spans="1:22" ht="14.4" x14ac:dyDescent="0.3">
      <c r="A28" s="26" t="s">
        <v>43</v>
      </c>
      <c r="B28" s="27" t="s">
        <v>44</v>
      </c>
      <c r="C28" s="61" t="s">
        <v>31</v>
      </c>
      <c r="D28" s="27" t="s">
        <v>79</v>
      </c>
      <c r="E28" s="31" t="s">
        <v>47</v>
      </c>
      <c r="F28" s="32" t="s">
        <v>80</v>
      </c>
      <c r="H28" t="s">
        <v>391</v>
      </c>
      <c r="I28" t="s">
        <v>390</v>
      </c>
      <c r="T28" t="s">
        <v>989</v>
      </c>
      <c r="U28" t="s">
        <v>443</v>
      </c>
      <c r="V28" t="s">
        <v>419</v>
      </c>
    </row>
    <row r="29" spans="1:22" ht="15" thickBot="1" x14ac:dyDescent="0.35">
      <c r="A29" s="33" t="s">
        <v>43</v>
      </c>
      <c r="B29" s="34" t="s">
        <v>44</v>
      </c>
      <c r="C29" s="62" t="s">
        <v>14</v>
      </c>
      <c r="D29" s="35" t="s">
        <v>81</v>
      </c>
      <c r="E29" s="36" t="s">
        <v>47</v>
      </c>
      <c r="F29" s="37" t="s">
        <v>82</v>
      </c>
      <c r="H29" t="s">
        <v>162</v>
      </c>
      <c r="I29" t="s">
        <v>161</v>
      </c>
      <c r="T29" t="s">
        <v>990</v>
      </c>
      <c r="U29" t="s">
        <v>444</v>
      </c>
      <c r="V29" t="s">
        <v>411</v>
      </c>
    </row>
    <row r="30" spans="1:22" ht="14.4" x14ac:dyDescent="0.3">
      <c r="A30" s="38" t="s">
        <v>83</v>
      </c>
      <c r="B30" s="39" t="s">
        <v>84</v>
      </c>
      <c r="C30" s="63" t="s">
        <v>85</v>
      </c>
      <c r="D30" s="40" t="s">
        <v>86</v>
      </c>
      <c r="E30" s="41" t="s">
        <v>87</v>
      </c>
      <c r="F30" s="42" t="s">
        <v>88</v>
      </c>
      <c r="H30" t="s">
        <v>180</v>
      </c>
      <c r="I30" t="s">
        <v>179</v>
      </c>
      <c r="T30" t="s">
        <v>991</v>
      </c>
      <c r="U30" t="s">
        <v>445</v>
      </c>
      <c r="V30" t="s">
        <v>411</v>
      </c>
    </row>
    <row r="31" spans="1:22" ht="15" thickBot="1" x14ac:dyDescent="0.35">
      <c r="A31" s="43" t="s">
        <v>83</v>
      </c>
      <c r="B31" s="44" t="s">
        <v>84</v>
      </c>
      <c r="C31" s="64" t="s">
        <v>89</v>
      </c>
      <c r="D31" s="45" t="s">
        <v>90</v>
      </c>
      <c r="E31" s="46" t="s">
        <v>87</v>
      </c>
      <c r="F31" s="47" t="s">
        <v>91</v>
      </c>
      <c r="H31" t="s">
        <v>182</v>
      </c>
      <c r="I31" t="s">
        <v>181</v>
      </c>
      <c r="T31" t="s">
        <v>992</v>
      </c>
      <c r="U31" t="s">
        <v>446</v>
      </c>
      <c r="V31" t="s">
        <v>447</v>
      </c>
    </row>
    <row r="32" spans="1:22" ht="15" thickBot="1" x14ac:dyDescent="0.35">
      <c r="A32" s="43" t="s">
        <v>92</v>
      </c>
      <c r="B32" s="44" t="s">
        <v>93</v>
      </c>
      <c r="C32" s="64" t="s">
        <v>94</v>
      </c>
      <c r="D32" s="45" t="s">
        <v>95</v>
      </c>
      <c r="E32" s="46" t="s">
        <v>96</v>
      </c>
      <c r="F32" s="47" t="s">
        <v>97</v>
      </c>
      <c r="H32" t="s">
        <v>184</v>
      </c>
      <c r="I32" t="s">
        <v>183</v>
      </c>
      <c r="T32" t="s">
        <v>993</v>
      </c>
      <c r="U32" t="s">
        <v>448</v>
      </c>
      <c r="V32" t="s">
        <v>411</v>
      </c>
    </row>
    <row r="33" spans="1:22" ht="14.4" x14ac:dyDescent="0.3">
      <c r="A33" s="38" t="s">
        <v>98</v>
      </c>
      <c r="B33" s="39" t="s">
        <v>99</v>
      </c>
      <c r="C33" s="63" t="s">
        <v>100</v>
      </c>
      <c r="D33" s="40" t="s">
        <v>101</v>
      </c>
      <c r="E33" s="41" t="s">
        <v>87</v>
      </c>
      <c r="F33" s="42" t="s">
        <v>102</v>
      </c>
      <c r="H33" t="s">
        <v>186</v>
      </c>
      <c r="I33" t="s">
        <v>185</v>
      </c>
      <c r="T33" t="s">
        <v>994</v>
      </c>
      <c r="U33" t="s">
        <v>449</v>
      </c>
      <c r="V33" t="s">
        <v>411</v>
      </c>
    </row>
    <row r="34" spans="1:22" ht="14.4" x14ac:dyDescent="0.3">
      <c r="A34" s="48" t="s">
        <v>98</v>
      </c>
      <c r="B34" s="49" t="s">
        <v>99</v>
      </c>
      <c r="C34" s="65" t="s">
        <v>103</v>
      </c>
      <c r="D34" s="50" t="s">
        <v>104</v>
      </c>
      <c r="E34" s="51" t="s">
        <v>87</v>
      </c>
      <c r="F34" s="52" t="s">
        <v>105</v>
      </c>
      <c r="H34" t="s">
        <v>188</v>
      </c>
      <c r="I34" t="s">
        <v>187</v>
      </c>
      <c r="T34" t="s">
        <v>995</v>
      </c>
      <c r="U34" t="s">
        <v>450</v>
      </c>
      <c r="V34" t="s">
        <v>413</v>
      </c>
    </row>
    <row r="35" spans="1:22" ht="15" thickBot="1" x14ac:dyDescent="0.35">
      <c r="A35" s="48" t="s">
        <v>98</v>
      </c>
      <c r="B35" s="49" t="s">
        <v>99</v>
      </c>
      <c r="C35" s="65" t="s">
        <v>106</v>
      </c>
      <c r="D35" s="50" t="s">
        <v>107</v>
      </c>
      <c r="E35" s="51" t="s">
        <v>87</v>
      </c>
      <c r="F35" s="52" t="s">
        <v>108</v>
      </c>
      <c r="H35" t="s">
        <v>190</v>
      </c>
      <c r="I35" t="s">
        <v>189</v>
      </c>
      <c r="T35" t="s">
        <v>996</v>
      </c>
      <c r="U35" t="s">
        <v>451</v>
      </c>
      <c r="V35" t="s">
        <v>452</v>
      </c>
    </row>
    <row r="36" spans="1:22" ht="15" thickBot="1" x14ac:dyDescent="0.35">
      <c r="A36" s="53" t="s">
        <v>109</v>
      </c>
      <c r="B36" s="54" t="s">
        <v>110</v>
      </c>
      <c r="C36" s="66" t="s">
        <v>111</v>
      </c>
      <c r="D36" s="55" t="s">
        <v>112</v>
      </c>
      <c r="E36" s="56" t="s">
        <v>87</v>
      </c>
      <c r="F36" s="57" t="s">
        <v>113</v>
      </c>
      <c r="H36" t="s">
        <v>192</v>
      </c>
      <c r="I36" t="s">
        <v>191</v>
      </c>
      <c r="T36" t="s">
        <v>997</v>
      </c>
      <c r="U36" t="s">
        <v>453</v>
      </c>
      <c r="V36" t="s">
        <v>411</v>
      </c>
    </row>
    <row r="37" spans="1:22" ht="14.4" x14ac:dyDescent="0.3">
      <c r="A37" s="38" t="s">
        <v>114</v>
      </c>
      <c r="B37" s="39" t="s">
        <v>115</v>
      </c>
      <c r="C37" s="63" t="s">
        <v>116</v>
      </c>
      <c r="D37" s="40" t="s">
        <v>117</v>
      </c>
      <c r="E37" s="41" t="s">
        <v>118</v>
      </c>
      <c r="F37" s="42" t="s">
        <v>119</v>
      </c>
      <c r="H37" t="s">
        <v>194</v>
      </c>
      <c r="I37" t="s">
        <v>193</v>
      </c>
      <c r="T37" t="s">
        <v>998</v>
      </c>
      <c r="U37" t="s">
        <v>454</v>
      </c>
      <c r="V37" t="s">
        <v>411</v>
      </c>
    </row>
    <row r="38" spans="1:22" ht="15" thickBot="1" x14ac:dyDescent="0.35">
      <c r="A38" s="43" t="s">
        <v>114</v>
      </c>
      <c r="B38" s="44" t="s">
        <v>115</v>
      </c>
      <c r="C38" s="64" t="s">
        <v>120</v>
      </c>
      <c r="D38" s="45" t="s">
        <v>121</v>
      </c>
      <c r="E38" s="46" t="s">
        <v>87</v>
      </c>
      <c r="F38" s="47" t="s">
        <v>122</v>
      </c>
      <c r="H38" t="s">
        <v>196</v>
      </c>
      <c r="I38" t="s">
        <v>195</v>
      </c>
      <c r="T38" t="s">
        <v>999</v>
      </c>
      <c r="U38" t="s">
        <v>455</v>
      </c>
      <c r="V38" t="s">
        <v>447</v>
      </c>
    </row>
    <row r="39" spans="1:22" x14ac:dyDescent="0.3">
      <c r="H39" t="s">
        <v>198</v>
      </c>
      <c r="I39" t="s">
        <v>197</v>
      </c>
      <c r="T39" t="s">
        <v>1000</v>
      </c>
      <c r="U39" t="s">
        <v>456</v>
      </c>
      <c r="V39" t="s">
        <v>411</v>
      </c>
    </row>
    <row r="40" spans="1:22" x14ac:dyDescent="0.3">
      <c r="H40" t="s">
        <v>200</v>
      </c>
      <c r="I40" t="s">
        <v>199</v>
      </c>
      <c r="T40" t="s">
        <v>1001</v>
      </c>
      <c r="U40" t="s">
        <v>457</v>
      </c>
      <c r="V40" t="s">
        <v>428</v>
      </c>
    </row>
    <row r="41" spans="1:22" x14ac:dyDescent="0.3">
      <c r="H41" t="s">
        <v>202</v>
      </c>
      <c r="I41" t="s">
        <v>201</v>
      </c>
      <c r="T41" t="s">
        <v>1002</v>
      </c>
      <c r="U41" t="s">
        <v>458</v>
      </c>
      <c r="V41" t="s">
        <v>411</v>
      </c>
    </row>
    <row r="42" spans="1:22" x14ac:dyDescent="0.3">
      <c r="H42" t="s">
        <v>204</v>
      </c>
      <c r="I42" t="s">
        <v>203</v>
      </c>
      <c r="T42" t="s">
        <v>1003</v>
      </c>
      <c r="U42" t="s">
        <v>459</v>
      </c>
      <c r="V42" t="s">
        <v>460</v>
      </c>
    </row>
    <row r="43" spans="1:22" x14ac:dyDescent="0.3">
      <c r="H43" t="s">
        <v>206</v>
      </c>
      <c r="I43" t="s">
        <v>205</v>
      </c>
      <c r="T43" t="s">
        <v>1004</v>
      </c>
      <c r="U43" t="s">
        <v>461</v>
      </c>
      <c r="V43" t="s">
        <v>409</v>
      </c>
    </row>
    <row r="44" spans="1:22" x14ac:dyDescent="0.3">
      <c r="H44" t="s">
        <v>208</v>
      </c>
      <c r="I44" t="s">
        <v>207</v>
      </c>
      <c r="T44" t="s">
        <v>1005</v>
      </c>
      <c r="U44" t="s">
        <v>462</v>
      </c>
      <c r="V44" t="s">
        <v>411</v>
      </c>
    </row>
    <row r="45" spans="1:22" x14ac:dyDescent="0.3">
      <c r="H45" t="s">
        <v>210</v>
      </c>
      <c r="I45" t="s">
        <v>209</v>
      </c>
      <c r="T45" t="s">
        <v>1006</v>
      </c>
      <c r="U45" t="s">
        <v>463</v>
      </c>
      <c r="V45" t="s">
        <v>419</v>
      </c>
    </row>
    <row r="46" spans="1:22" x14ac:dyDescent="0.3">
      <c r="H46" t="s">
        <v>212</v>
      </c>
      <c r="I46" t="s">
        <v>211</v>
      </c>
      <c r="T46" t="s">
        <v>1007</v>
      </c>
      <c r="U46" t="s">
        <v>464</v>
      </c>
      <c r="V46" t="s">
        <v>465</v>
      </c>
    </row>
    <row r="47" spans="1:22" x14ac:dyDescent="0.3">
      <c r="H47" t="s">
        <v>214</v>
      </c>
      <c r="I47" t="s">
        <v>213</v>
      </c>
      <c r="T47" t="s">
        <v>1008</v>
      </c>
      <c r="U47" t="s">
        <v>466</v>
      </c>
      <c r="V47" t="s">
        <v>411</v>
      </c>
    </row>
    <row r="48" spans="1:22" x14ac:dyDescent="0.3">
      <c r="H48" t="s">
        <v>216</v>
      </c>
      <c r="I48" t="s">
        <v>215</v>
      </c>
      <c r="T48" t="s">
        <v>1009</v>
      </c>
      <c r="U48" t="s">
        <v>467</v>
      </c>
      <c r="V48" t="s">
        <v>411</v>
      </c>
    </row>
    <row r="49" spans="8:22" x14ac:dyDescent="0.3">
      <c r="H49" t="s">
        <v>218</v>
      </c>
      <c r="I49" t="s">
        <v>217</v>
      </c>
      <c r="T49" t="s">
        <v>1010</v>
      </c>
      <c r="U49" t="s">
        <v>468</v>
      </c>
      <c r="V49" t="s">
        <v>469</v>
      </c>
    </row>
    <row r="50" spans="8:22" x14ac:dyDescent="0.3">
      <c r="H50" t="s">
        <v>220</v>
      </c>
      <c r="I50" t="s">
        <v>219</v>
      </c>
      <c r="T50" t="s">
        <v>1011</v>
      </c>
      <c r="U50" t="s">
        <v>470</v>
      </c>
      <c r="V50" t="s">
        <v>409</v>
      </c>
    </row>
    <row r="51" spans="8:22" x14ac:dyDescent="0.3">
      <c r="H51" t="s">
        <v>222</v>
      </c>
      <c r="I51" t="s">
        <v>221</v>
      </c>
      <c r="T51" t="s">
        <v>1012</v>
      </c>
      <c r="U51" t="s">
        <v>471</v>
      </c>
      <c r="V51" t="s">
        <v>411</v>
      </c>
    </row>
    <row r="52" spans="8:22" x14ac:dyDescent="0.3">
      <c r="H52" t="s">
        <v>224</v>
      </c>
      <c r="I52" t="s">
        <v>223</v>
      </c>
      <c r="T52" t="s">
        <v>1013</v>
      </c>
      <c r="U52" t="s">
        <v>472</v>
      </c>
      <c r="V52" t="s">
        <v>473</v>
      </c>
    </row>
    <row r="53" spans="8:22" x14ac:dyDescent="0.3">
      <c r="H53" t="s">
        <v>226</v>
      </c>
      <c r="I53" t="s">
        <v>225</v>
      </c>
      <c r="T53" t="s">
        <v>1014</v>
      </c>
      <c r="U53" t="s">
        <v>474</v>
      </c>
      <c r="V53" t="s">
        <v>419</v>
      </c>
    </row>
    <row r="54" spans="8:22" x14ac:dyDescent="0.3">
      <c r="H54" t="s">
        <v>228</v>
      </c>
      <c r="I54" t="s">
        <v>227</v>
      </c>
      <c r="T54" t="s">
        <v>1015</v>
      </c>
      <c r="U54" t="s">
        <v>475</v>
      </c>
      <c r="V54" t="s">
        <v>245</v>
      </c>
    </row>
    <row r="55" spans="8:22" x14ac:dyDescent="0.3">
      <c r="H55" t="s">
        <v>230</v>
      </c>
      <c r="I55" t="s">
        <v>229</v>
      </c>
      <c r="T55" t="s">
        <v>1016</v>
      </c>
      <c r="U55" t="s">
        <v>476</v>
      </c>
      <c r="V55" t="s">
        <v>419</v>
      </c>
    </row>
    <row r="56" spans="8:22" x14ac:dyDescent="0.3">
      <c r="H56" t="s">
        <v>232</v>
      </c>
      <c r="I56" t="s">
        <v>231</v>
      </c>
      <c r="T56" t="s">
        <v>1017</v>
      </c>
      <c r="U56" t="s">
        <v>477</v>
      </c>
      <c r="V56" t="s">
        <v>411</v>
      </c>
    </row>
    <row r="57" spans="8:22" x14ac:dyDescent="0.3">
      <c r="H57" t="s">
        <v>234</v>
      </c>
      <c r="I57" t="s">
        <v>233</v>
      </c>
      <c r="T57" t="s">
        <v>1018</v>
      </c>
      <c r="U57" t="s">
        <v>478</v>
      </c>
      <c r="V57" t="s">
        <v>411</v>
      </c>
    </row>
    <row r="58" spans="8:22" x14ac:dyDescent="0.3">
      <c r="H58" t="s">
        <v>236</v>
      </c>
      <c r="I58" t="s">
        <v>235</v>
      </c>
      <c r="T58" t="s">
        <v>1019</v>
      </c>
      <c r="U58" t="s">
        <v>479</v>
      </c>
      <c r="V58" t="s">
        <v>409</v>
      </c>
    </row>
    <row r="59" spans="8:22" x14ac:dyDescent="0.3">
      <c r="H59" t="s">
        <v>238</v>
      </c>
      <c r="I59" t="s">
        <v>237</v>
      </c>
      <c r="T59" t="s">
        <v>1020</v>
      </c>
      <c r="U59" t="s">
        <v>480</v>
      </c>
      <c r="V59" t="s">
        <v>411</v>
      </c>
    </row>
    <row r="60" spans="8:22" x14ac:dyDescent="0.3">
      <c r="H60" t="s">
        <v>240</v>
      </c>
      <c r="I60" t="s">
        <v>239</v>
      </c>
      <c r="T60" t="s">
        <v>1021</v>
      </c>
      <c r="U60" t="s">
        <v>481</v>
      </c>
      <c r="V60" t="s">
        <v>482</v>
      </c>
    </row>
    <row r="61" spans="8:22" x14ac:dyDescent="0.3">
      <c r="H61" t="s">
        <v>242</v>
      </c>
      <c r="I61" t="s">
        <v>241</v>
      </c>
      <c r="T61" t="s">
        <v>1022</v>
      </c>
      <c r="U61" t="s">
        <v>483</v>
      </c>
      <c r="V61" t="s">
        <v>411</v>
      </c>
    </row>
    <row r="62" spans="8:22" x14ac:dyDescent="0.3">
      <c r="H62" t="s">
        <v>244</v>
      </c>
      <c r="I62" t="s">
        <v>243</v>
      </c>
      <c r="T62" t="s">
        <v>1023</v>
      </c>
      <c r="U62" t="s">
        <v>484</v>
      </c>
      <c r="V62" t="s">
        <v>411</v>
      </c>
    </row>
    <row r="63" spans="8:22" x14ac:dyDescent="0.3">
      <c r="H63" t="s">
        <v>246</v>
      </c>
      <c r="I63" t="s">
        <v>245</v>
      </c>
      <c r="T63" t="s">
        <v>1024</v>
      </c>
      <c r="U63" t="s">
        <v>485</v>
      </c>
      <c r="V63" t="s">
        <v>411</v>
      </c>
    </row>
    <row r="64" spans="8:22" x14ac:dyDescent="0.3">
      <c r="H64" t="s">
        <v>369</v>
      </c>
      <c r="I64" t="s">
        <v>368</v>
      </c>
      <c r="T64" t="s">
        <v>1025</v>
      </c>
      <c r="U64" t="s">
        <v>486</v>
      </c>
      <c r="V64" t="s">
        <v>411</v>
      </c>
    </row>
    <row r="65" spans="8:22" x14ac:dyDescent="0.3">
      <c r="H65" t="s">
        <v>371</v>
      </c>
      <c r="I65" t="s">
        <v>370</v>
      </c>
      <c r="T65" t="s">
        <v>1026</v>
      </c>
      <c r="U65" t="s">
        <v>487</v>
      </c>
      <c r="V65" t="s">
        <v>411</v>
      </c>
    </row>
    <row r="66" spans="8:22" x14ac:dyDescent="0.3">
      <c r="H66" t="s">
        <v>373</v>
      </c>
      <c r="I66" t="s">
        <v>372</v>
      </c>
      <c r="T66" t="s">
        <v>1027</v>
      </c>
      <c r="U66" t="s">
        <v>488</v>
      </c>
      <c r="V66" t="s">
        <v>411</v>
      </c>
    </row>
    <row r="67" spans="8:22" x14ac:dyDescent="0.3">
      <c r="H67" t="s">
        <v>375</v>
      </c>
      <c r="I67" t="s">
        <v>374</v>
      </c>
      <c r="T67" t="s">
        <v>1028</v>
      </c>
      <c r="U67" t="s">
        <v>489</v>
      </c>
      <c r="V67" t="s">
        <v>411</v>
      </c>
    </row>
    <row r="68" spans="8:22" x14ac:dyDescent="0.3">
      <c r="H68" t="s">
        <v>377</v>
      </c>
      <c r="I68" t="s">
        <v>376</v>
      </c>
      <c r="T68" t="s">
        <v>1029</v>
      </c>
      <c r="U68" t="s">
        <v>490</v>
      </c>
      <c r="V68" t="s">
        <v>419</v>
      </c>
    </row>
    <row r="69" spans="8:22" x14ac:dyDescent="0.3">
      <c r="H69" t="s">
        <v>379</v>
      </c>
      <c r="I69" t="s">
        <v>378</v>
      </c>
      <c r="T69" t="s">
        <v>1030</v>
      </c>
      <c r="U69" t="s">
        <v>491</v>
      </c>
      <c r="V69" t="s">
        <v>422</v>
      </c>
    </row>
    <row r="70" spans="8:22" x14ac:dyDescent="0.3">
      <c r="H70" t="s">
        <v>381</v>
      </c>
      <c r="I70" t="s">
        <v>380</v>
      </c>
      <c r="T70" t="s">
        <v>1031</v>
      </c>
      <c r="U70" t="s">
        <v>492</v>
      </c>
      <c r="V70" t="s">
        <v>419</v>
      </c>
    </row>
    <row r="71" spans="8:22" x14ac:dyDescent="0.3">
      <c r="H71" t="s">
        <v>383</v>
      </c>
      <c r="I71" t="s">
        <v>382</v>
      </c>
      <c r="T71" t="s">
        <v>1032</v>
      </c>
      <c r="U71" t="s">
        <v>493</v>
      </c>
      <c r="V71" t="s">
        <v>419</v>
      </c>
    </row>
    <row r="72" spans="8:22" x14ac:dyDescent="0.3">
      <c r="H72" t="s">
        <v>385</v>
      </c>
      <c r="I72" t="s">
        <v>384</v>
      </c>
      <c r="T72" t="s">
        <v>1033</v>
      </c>
      <c r="U72" t="s">
        <v>494</v>
      </c>
      <c r="V72" t="s">
        <v>243</v>
      </c>
    </row>
    <row r="73" spans="8:22" x14ac:dyDescent="0.3">
      <c r="H73" t="s">
        <v>399</v>
      </c>
      <c r="I73" t="s">
        <v>398</v>
      </c>
      <c r="T73" t="s">
        <v>1034</v>
      </c>
      <c r="U73" t="s">
        <v>495</v>
      </c>
      <c r="V73" t="s">
        <v>496</v>
      </c>
    </row>
    <row r="74" spans="8:22" x14ac:dyDescent="0.3">
      <c r="H74" t="s">
        <v>294</v>
      </c>
      <c r="I74" t="s">
        <v>293</v>
      </c>
      <c r="T74" t="s">
        <v>1035</v>
      </c>
      <c r="U74" t="s">
        <v>497</v>
      </c>
      <c r="V74" t="s">
        <v>411</v>
      </c>
    </row>
    <row r="75" spans="8:22" x14ac:dyDescent="0.3">
      <c r="H75" t="s">
        <v>296</v>
      </c>
      <c r="I75" t="s">
        <v>295</v>
      </c>
      <c r="T75" t="s">
        <v>1036</v>
      </c>
      <c r="U75" t="s">
        <v>498</v>
      </c>
      <c r="V75" t="s">
        <v>411</v>
      </c>
    </row>
    <row r="76" spans="8:22" x14ac:dyDescent="0.3">
      <c r="H76" t="s">
        <v>298</v>
      </c>
      <c r="I76" t="s">
        <v>297</v>
      </c>
      <c r="T76" t="s">
        <v>1037</v>
      </c>
      <c r="U76" t="s">
        <v>499</v>
      </c>
      <c r="V76" t="s">
        <v>469</v>
      </c>
    </row>
    <row r="77" spans="8:22" x14ac:dyDescent="0.3">
      <c r="H77" t="s">
        <v>300</v>
      </c>
      <c r="I77" t="s">
        <v>299</v>
      </c>
      <c r="T77" t="s">
        <v>1038</v>
      </c>
      <c r="U77" t="s">
        <v>500</v>
      </c>
      <c r="V77" t="s">
        <v>411</v>
      </c>
    </row>
    <row r="78" spans="8:22" x14ac:dyDescent="0.3">
      <c r="H78" t="s">
        <v>302</v>
      </c>
      <c r="I78" t="s">
        <v>301</v>
      </c>
      <c r="T78" t="s">
        <v>1039</v>
      </c>
      <c r="U78" t="s">
        <v>501</v>
      </c>
      <c r="V78" t="s">
        <v>473</v>
      </c>
    </row>
    <row r="79" spans="8:22" x14ac:dyDescent="0.3">
      <c r="H79" t="s">
        <v>304</v>
      </c>
      <c r="I79" t="s">
        <v>303</v>
      </c>
      <c r="T79" t="s">
        <v>1040</v>
      </c>
      <c r="U79" t="s">
        <v>502</v>
      </c>
      <c r="V79" t="s">
        <v>411</v>
      </c>
    </row>
    <row r="80" spans="8:22" x14ac:dyDescent="0.3">
      <c r="H80" t="s">
        <v>306</v>
      </c>
      <c r="I80" t="s">
        <v>305</v>
      </c>
      <c r="T80" t="s">
        <v>1041</v>
      </c>
      <c r="U80" t="s">
        <v>503</v>
      </c>
      <c r="V80" t="s">
        <v>411</v>
      </c>
    </row>
    <row r="81" spans="8:22" x14ac:dyDescent="0.3">
      <c r="H81" t="s">
        <v>308</v>
      </c>
      <c r="I81" t="s">
        <v>307</v>
      </c>
      <c r="T81" t="s">
        <v>1042</v>
      </c>
      <c r="U81" t="s">
        <v>504</v>
      </c>
      <c r="V81" t="s">
        <v>411</v>
      </c>
    </row>
    <row r="82" spans="8:22" x14ac:dyDescent="0.3">
      <c r="H82" t="s">
        <v>310</v>
      </c>
      <c r="I82" t="s">
        <v>309</v>
      </c>
      <c r="T82" t="s">
        <v>1043</v>
      </c>
      <c r="U82" t="s">
        <v>505</v>
      </c>
      <c r="V82" t="s">
        <v>411</v>
      </c>
    </row>
    <row r="83" spans="8:22" x14ac:dyDescent="0.3">
      <c r="H83" t="s">
        <v>312</v>
      </c>
      <c r="I83" t="s">
        <v>311</v>
      </c>
      <c r="T83" t="s">
        <v>1044</v>
      </c>
      <c r="U83" t="s">
        <v>506</v>
      </c>
      <c r="V83" t="s">
        <v>507</v>
      </c>
    </row>
    <row r="84" spans="8:22" x14ac:dyDescent="0.3">
      <c r="H84" t="s">
        <v>314</v>
      </c>
      <c r="I84" t="s">
        <v>313</v>
      </c>
      <c r="T84" t="s">
        <v>1045</v>
      </c>
      <c r="U84" t="s">
        <v>508</v>
      </c>
      <c r="V84" t="s">
        <v>432</v>
      </c>
    </row>
    <row r="85" spans="8:22" x14ac:dyDescent="0.3">
      <c r="H85" t="s">
        <v>316</v>
      </c>
      <c r="I85" t="s">
        <v>315</v>
      </c>
      <c r="T85" t="s">
        <v>1046</v>
      </c>
      <c r="U85" t="s">
        <v>509</v>
      </c>
      <c r="V85" t="s">
        <v>411</v>
      </c>
    </row>
    <row r="86" spans="8:22" x14ac:dyDescent="0.3">
      <c r="H86" t="s">
        <v>351</v>
      </c>
      <c r="I86" t="s">
        <v>350</v>
      </c>
      <c r="T86" t="s">
        <v>1047</v>
      </c>
      <c r="U86" t="s">
        <v>510</v>
      </c>
      <c r="V86" t="s">
        <v>411</v>
      </c>
    </row>
    <row r="87" spans="8:22" x14ac:dyDescent="0.3">
      <c r="H87" t="s">
        <v>278</v>
      </c>
      <c r="I87" t="s">
        <v>277</v>
      </c>
      <c r="T87" t="s">
        <v>1048</v>
      </c>
      <c r="U87" t="s">
        <v>511</v>
      </c>
      <c r="V87" t="s">
        <v>411</v>
      </c>
    </row>
    <row r="88" spans="8:22" x14ac:dyDescent="0.3">
      <c r="H88" t="s">
        <v>355</v>
      </c>
      <c r="I88" t="s">
        <v>354</v>
      </c>
      <c r="T88" t="s">
        <v>1049</v>
      </c>
      <c r="U88" t="s">
        <v>512</v>
      </c>
      <c r="V88" t="s">
        <v>513</v>
      </c>
    </row>
    <row r="89" spans="8:22" x14ac:dyDescent="0.3">
      <c r="H89" t="s">
        <v>353</v>
      </c>
      <c r="I89" t="s">
        <v>352</v>
      </c>
      <c r="T89" t="s">
        <v>1050</v>
      </c>
      <c r="U89" t="s">
        <v>514</v>
      </c>
      <c r="V89" t="s">
        <v>411</v>
      </c>
    </row>
    <row r="90" spans="8:22" x14ac:dyDescent="0.3">
      <c r="H90" t="s">
        <v>339</v>
      </c>
      <c r="I90" t="s">
        <v>338</v>
      </c>
      <c r="T90" t="s">
        <v>1051</v>
      </c>
      <c r="U90" t="s">
        <v>515</v>
      </c>
      <c r="V90" t="s">
        <v>413</v>
      </c>
    </row>
    <row r="91" spans="8:22" x14ac:dyDescent="0.3">
      <c r="H91" t="s">
        <v>361</v>
      </c>
      <c r="I91" t="s">
        <v>360</v>
      </c>
      <c r="T91" t="s">
        <v>1052</v>
      </c>
      <c r="U91" t="s">
        <v>516</v>
      </c>
      <c r="V91" t="s">
        <v>419</v>
      </c>
    </row>
    <row r="92" spans="8:22" x14ac:dyDescent="0.3">
      <c r="H92" t="s">
        <v>292</v>
      </c>
      <c r="I92" t="s">
        <v>291</v>
      </c>
      <c r="T92" t="s">
        <v>1053</v>
      </c>
      <c r="U92" t="s">
        <v>517</v>
      </c>
      <c r="V92" t="s">
        <v>411</v>
      </c>
    </row>
    <row r="93" spans="8:22" x14ac:dyDescent="0.3">
      <c r="H93" t="s">
        <v>341</v>
      </c>
      <c r="I93" t="s">
        <v>340</v>
      </c>
      <c r="T93" t="s">
        <v>1054</v>
      </c>
      <c r="U93" t="s">
        <v>518</v>
      </c>
      <c r="V93" t="s">
        <v>411</v>
      </c>
    </row>
    <row r="94" spans="8:22" x14ac:dyDescent="0.3">
      <c r="H94" t="s">
        <v>357</v>
      </c>
      <c r="I94" t="s">
        <v>356</v>
      </c>
      <c r="T94" t="s">
        <v>1055</v>
      </c>
      <c r="U94" t="s">
        <v>519</v>
      </c>
      <c r="V94" t="s">
        <v>507</v>
      </c>
    </row>
    <row r="95" spans="8:22" x14ac:dyDescent="0.3">
      <c r="H95" t="s">
        <v>363</v>
      </c>
      <c r="I95" t="s">
        <v>362</v>
      </c>
      <c r="T95" t="s">
        <v>1056</v>
      </c>
      <c r="U95" t="s">
        <v>520</v>
      </c>
      <c r="V95" t="s">
        <v>521</v>
      </c>
    </row>
    <row r="96" spans="8:22" x14ac:dyDescent="0.3">
      <c r="H96" t="s">
        <v>365</v>
      </c>
      <c r="I96" t="s">
        <v>364</v>
      </c>
      <c r="T96" t="s">
        <v>1057</v>
      </c>
      <c r="U96" t="s">
        <v>522</v>
      </c>
      <c r="V96" t="s">
        <v>419</v>
      </c>
    </row>
    <row r="97" spans="8:22" x14ac:dyDescent="0.3">
      <c r="H97" t="s">
        <v>367</v>
      </c>
      <c r="I97" t="s">
        <v>366</v>
      </c>
      <c r="T97" t="s">
        <v>1058</v>
      </c>
      <c r="U97" t="s">
        <v>523</v>
      </c>
      <c r="V97" t="s">
        <v>411</v>
      </c>
    </row>
    <row r="98" spans="8:22" x14ac:dyDescent="0.3">
      <c r="H98" t="s">
        <v>279</v>
      </c>
      <c r="I98" t="s">
        <v>154</v>
      </c>
      <c r="T98" t="s">
        <v>1059</v>
      </c>
      <c r="U98" t="s">
        <v>524</v>
      </c>
      <c r="V98" t="s">
        <v>411</v>
      </c>
    </row>
    <row r="99" spans="8:22" x14ac:dyDescent="0.3">
      <c r="H99" t="s">
        <v>280</v>
      </c>
      <c r="I99" t="s">
        <v>152</v>
      </c>
      <c r="T99" t="s">
        <v>1060</v>
      </c>
      <c r="U99" t="s">
        <v>525</v>
      </c>
      <c r="V99" t="s">
        <v>411</v>
      </c>
    </row>
    <row r="100" spans="8:22" x14ac:dyDescent="0.3">
      <c r="H100" t="s">
        <v>282</v>
      </c>
      <c r="I100" t="s">
        <v>281</v>
      </c>
      <c r="T100" t="s">
        <v>1061</v>
      </c>
      <c r="U100" t="s">
        <v>526</v>
      </c>
      <c r="V100" t="s">
        <v>432</v>
      </c>
    </row>
    <row r="101" spans="8:22" x14ac:dyDescent="0.3">
      <c r="H101" t="s">
        <v>166</v>
      </c>
      <c r="I101" t="s">
        <v>165</v>
      </c>
      <c r="T101" t="s">
        <v>1062</v>
      </c>
      <c r="U101" t="s">
        <v>527</v>
      </c>
      <c r="V101" t="s">
        <v>528</v>
      </c>
    </row>
    <row r="102" spans="8:22" x14ac:dyDescent="0.3">
      <c r="H102" t="s">
        <v>168</v>
      </c>
      <c r="I102" t="s">
        <v>167</v>
      </c>
      <c r="T102" t="s">
        <v>1063</v>
      </c>
      <c r="U102" t="s">
        <v>529</v>
      </c>
      <c r="V102" t="s">
        <v>428</v>
      </c>
    </row>
    <row r="103" spans="8:22" x14ac:dyDescent="0.3">
      <c r="H103" t="s">
        <v>170</v>
      </c>
      <c r="I103" t="s">
        <v>169</v>
      </c>
      <c r="T103" t="s">
        <v>1064</v>
      </c>
      <c r="U103" t="s">
        <v>530</v>
      </c>
      <c r="V103" t="s">
        <v>411</v>
      </c>
    </row>
    <row r="104" spans="8:22" x14ac:dyDescent="0.3">
      <c r="H104" t="s">
        <v>164</v>
      </c>
      <c r="I104" t="s">
        <v>163</v>
      </c>
      <c r="T104" t="s">
        <v>1065</v>
      </c>
      <c r="U104" t="s">
        <v>531</v>
      </c>
      <c r="V104" t="s">
        <v>411</v>
      </c>
    </row>
    <row r="105" spans="8:22" x14ac:dyDescent="0.3">
      <c r="H105" t="s">
        <v>159</v>
      </c>
      <c r="I105" t="s">
        <v>158</v>
      </c>
      <c r="T105" t="s">
        <v>1066</v>
      </c>
      <c r="U105" t="s">
        <v>532</v>
      </c>
      <c r="V105" t="s">
        <v>428</v>
      </c>
    </row>
    <row r="106" spans="8:22" x14ac:dyDescent="0.3">
      <c r="H106" t="s">
        <v>159</v>
      </c>
      <c r="I106" t="s">
        <v>160</v>
      </c>
      <c r="T106" t="s">
        <v>1067</v>
      </c>
      <c r="U106" t="s">
        <v>533</v>
      </c>
      <c r="V106" t="s">
        <v>411</v>
      </c>
    </row>
    <row r="107" spans="8:22" x14ac:dyDescent="0.3">
      <c r="H107" t="s">
        <v>318</v>
      </c>
      <c r="I107" t="s">
        <v>317</v>
      </c>
      <c r="T107" t="s">
        <v>1068</v>
      </c>
      <c r="U107" t="s">
        <v>534</v>
      </c>
      <c r="V107" t="s">
        <v>535</v>
      </c>
    </row>
    <row r="108" spans="8:22" x14ac:dyDescent="0.3">
      <c r="H108" t="s">
        <v>320</v>
      </c>
      <c r="I108" t="s">
        <v>319</v>
      </c>
      <c r="T108" t="s">
        <v>1069</v>
      </c>
      <c r="U108" t="s">
        <v>536</v>
      </c>
      <c r="V108" t="s">
        <v>411</v>
      </c>
    </row>
    <row r="109" spans="8:22" x14ac:dyDescent="0.3">
      <c r="H109" t="s">
        <v>322</v>
      </c>
      <c r="I109" t="s">
        <v>321</v>
      </c>
      <c r="T109" t="s">
        <v>1070</v>
      </c>
      <c r="U109" t="s">
        <v>537</v>
      </c>
      <c r="V109" t="s">
        <v>407</v>
      </c>
    </row>
    <row r="110" spans="8:22" x14ac:dyDescent="0.3">
      <c r="H110" t="s">
        <v>324</v>
      </c>
      <c r="I110" t="s">
        <v>323</v>
      </c>
      <c r="T110" t="s">
        <v>1071</v>
      </c>
      <c r="U110" t="s">
        <v>538</v>
      </c>
      <c r="V110" t="s">
        <v>539</v>
      </c>
    </row>
    <row r="111" spans="8:22" x14ac:dyDescent="0.3">
      <c r="H111" t="s">
        <v>326</v>
      </c>
      <c r="I111" t="s">
        <v>325</v>
      </c>
      <c r="T111" t="s">
        <v>1072</v>
      </c>
      <c r="U111" t="s">
        <v>540</v>
      </c>
      <c r="V111" t="s">
        <v>411</v>
      </c>
    </row>
    <row r="112" spans="8:22" x14ac:dyDescent="0.3">
      <c r="H112" t="s">
        <v>328</v>
      </c>
      <c r="I112" t="s">
        <v>327</v>
      </c>
      <c r="T112" t="s">
        <v>1073</v>
      </c>
      <c r="U112" t="s">
        <v>541</v>
      </c>
      <c r="V112" t="s">
        <v>542</v>
      </c>
    </row>
    <row r="113" spans="8:22" x14ac:dyDescent="0.3">
      <c r="H113" t="s">
        <v>330</v>
      </c>
      <c r="I113" t="s">
        <v>329</v>
      </c>
      <c r="T113" t="s">
        <v>1074</v>
      </c>
      <c r="U113" t="s">
        <v>543</v>
      </c>
      <c r="V113" t="s">
        <v>544</v>
      </c>
    </row>
    <row r="114" spans="8:22" x14ac:dyDescent="0.3">
      <c r="H114" t="s">
        <v>331</v>
      </c>
      <c r="I114" t="s">
        <v>153</v>
      </c>
      <c r="T114" t="s">
        <v>1075</v>
      </c>
      <c r="U114" t="s">
        <v>545</v>
      </c>
      <c r="V114" t="s">
        <v>411</v>
      </c>
    </row>
    <row r="115" spans="8:22" x14ac:dyDescent="0.3">
      <c r="H115" t="s">
        <v>333</v>
      </c>
      <c r="I115" t="s">
        <v>332</v>
      </c>
      <c r="T115" t="s">
        <v>1076</v>
      </c>
      <c r="U115" t="s">
        <v>546</v>
      </c>
      <c r="V115" t="s">
        <v>419</v>
      </c>
    </row>
    <row r="116" spans="8:22" x14ac:dyDescent="0.3">
      <c r="H116" t="s">
        <v>335</v>
      </c>
      <c r="I116" t="s">
        <v>334</v>
      </c>
      <c r="T116" t="s">
        <v>1077</v>
      </c>
      <c r="U116" t="s">
        <v>547</v>
      </c>
      <c r="V116" t="s">
        <v>548</v>
      </c>
    </row>
    <row r="117" spans="8:22" x14ac:dyDescent="0.3">
      <c r="H117" t="s">
        <v>337</v>
      </c>
      <c r="I117" t="s">
        <v>336</v>
      </c>
      <c r="T117" t="s">
        <v>1078</v>
      </c>
      <c r="U117" t="s">
        <v>549</v>
      </c>
      <c r="V117" t="s">
        <v>411</v>
      </c>
    </row>
    <row r="118" spans="8:22" x14ac:dyDescent="0.3">
      <c r="H118" t="s">
        <v>343</v>
      </c>
      <c r="I118" t="s">
        <v>342</v>
      </c>
      <c r="T118" t="s">
        <v>1079</v>
      </c>
      <c r="U118" t="s">
        <v>550</v>
      </c>
      <c r="V118" t="s">
        <v>551</v>
      </c>
    </row>
    <row r="119" spans="8:22" x14ac:dyDescent="0.3">
      <c r="H119" t="s">
        <v>172</v>
      </c>
      <c r="I119" t="s">
        <v>171</v>
      </c>
      <c r="T119" t="s">
        <v>1080</v>
      </c>
      <c r="U119" t="s">
        <v>552</v>
      </c>
      <c r="V119" t="s">
        <v>411</v>
      </c>
    </row>
    <row r="120" spans="8:22" x14ac:dyDescent="0.3">
      <c r="H120" t="s">
        <v>270</v>
      </c>
      <c r="I120" t="s">
        <v>269</v>
      </c>
      <c r="T120" t="s">
        <v>1081</v>
      </c>
      <c r="U120" t="s">
        <v>553</v>
      </c>
      <c r="V120" t="s">
        <v>428</v>
      </c>
    </row>
    <row r="121" spans="8:22" x14ac:dyDescent="0.3">
      <c r="H121" t="s">
        <v>272</v>
      </c>
      <c r="I121" t="s">
        <v>271</v>
      </c>
      <c r="T121" t="s">
        <v>1082</v>
      </c>
      <c r="U121" t="s">
        <v>554</v>
      </c>
      <c r="V121" t="s">
        <v>419</v>
      </c>
    </row>
    <row r="122" spans="8:22" x14ac:dyDescent="0.3">
      <c r="H122" t="s">
        <v>274</v>
      </c>
      <c r="I122" t="s">
        <v>273</v>
      </c>
      <c r="T122" t="s">
        <v>1083</v>
      </c>
      <c r="U122" t="s">
        <v>555</v>
      </c>
      <c r="V122" t="s">
        <v>556</v>
      </c>
    </row>
    <row r="123" spans="8:22" x14ac:dyDescent="0.3">
      <c r="H123" t="s">
        <v>276</v>
      </c>
      <c r="I123" t="s">
        <v>275</v>
      </c>
      <c r="T123" t="s">
        <v>1084</v>
      </c>
      <c r="U123" t="s">
        <v>557</v>
      </c>
      <c r="V123" t="s">
        <v>419</v>
      </c>
    </row>
    <row r="124" spans="8:22" x14ac:dyDescent="0.3">
      <c r="H124" t="s">
        <v>359</v>
      </c>
      <c r="I124" t="s">
        <v>358</v>
      </c>
      <c r="T124" t="s">
        <v>1085</v>
      </c>
      <c r="U124" t="s">
        <v>558</v>
      </c>
      <c r="V124" t="s">
        <v>513</v>
      </c>
    </row>
    <row r="125" spans="8:22" x14ac:dyDescent="0.3">
      <c r="H125" t="s">
        <v>176</v>
      </c>
      <c r="I125" t="s">
        <v>175</v>
      </c>
      <c r="T125" t="s">
        <v>1086</v>
      </c>
      <c r="U125" t="s">
        <v>559</v>
      </c>
      <c r="V125" t="s">
        <v>411</v>
      </c>
    </row>
    <row r="126" spans="8:22" x14ac:dyDescent="0.3">
      <c r="H126" t="s">
        <v>178</v>
      </c>
      <c r="I126" t="s">
        <v>177</v>
      </c>
      <c r="T126" t="s">
        <v>1087</v>
      </c>
      <c r="U126" t="s">
        <v>560</v>
      </c>
      <c r="V126" t="s">
        <v>561</v>
      </c>
    </row>
    <row r="127" spans="8:22" x14ac:dyDescent="0.3">
      <c r="H127" t="s">
        <v>174</v>
      </c>
      <c r="I127" t="s">
        <v>173</v>
      </c>
      <c r="T127" t="s">
        <v>1088</v>
      </c>
      <c r="U127" t="s">
        <v>562</v>
      </c>
      <c r="V127" t="s">
        <v>407</v>
      </c>
    </row>
    <row r="128" spans="8:22" x14ac:dyDescent="0.3">
      <c r="T128" t="s">
        <v>1089</v>
      </c>
      <c r="U128" t="s">
        <v>563</v>
      </c>
      <c r="V128" t="s">
        <v>432</v>
      </c>
    </row>
    <row r="129" spans="20:22" x14ac:dyDescent="0.3">
      <c r="T129" t="s">
        <v>1090</v>
      </c>
      <c r="U129" t="s">
        <v>564</v>
      </c>
      <c r="V129" t="s">
        <v>411</v>
      </c>
    </row>
    <row r="130" spans="20:22" x14ac:dyDescent="0.3">
      <c r="T130" t="s">
        <v>1091</v>
      </c>
      <c r="U130" t="s">
        <v>565</v>
      </c>
      <c r="V130" t="s">
        <v>411</v>
      </c>
    </row>
    <row r="131" spans="20:22" x14ac:dyDescent="0.3">
      <c r="T131" t="s">
        <v>1092</v>
      </c>
      <c r="U131" t="s">
        <v>566</v>
      </c>
      <c r="V131" t="s">
        <v>567</v>
      </c>
    </row>
    <row r="132" spans="20:22" x14ac:dyDescent="0.3">
      <c r="T132" t="s">
        <v>1093</v>
      </c>
      <c r="U132" t="s">
        <v>568</v>
      </c>
      <c r="V132" t="s">
        <v>243</v>
      </c>
    </row>
    <row r="133" spans="20:22" x14ac:dyDescent="0.3">
      <c r="T133" t="s">
        <v>1094</v>
      </c>
      <c r="U133" t="s">
        <v>569</v>
      </c>
      <c r="V133" t="s">
        <v>411</v>
      </c>
    </row>
    <row r="134" spans="20:22" x14ac:dyDescent="0.3">
      <c r="T134" t="s">
        <v>1095</v>
      </c>
      <c r="U134" t="s">
        <v>570</v>
      </c>
      <c r="V134" t="s">
        <v>411</v>
      </c>
    </row>
    <row r="135" spans="20:22" x14ac:dyDescent="0.3">
      <c r="T135" t="s">
        <v>1096</v>
      </c>
      <c r="U135" t="s">
        <v>571</v>
      </c>
      <c r="V135" t="s">
        <v>411</v>
      </c>
    </row>
    <row r="136" spans="20:22" x14ac:dyDescent="0.3">
      <c r="T136" t="s">
        <v>1097</v>
      </c>
      <c r="U136" t="s">
        <v>572</v>
      </c>
      <c r="V136" t="s">
        <v>573</v>
      </c>
    </row>
    <row r="137" spans="20:22" x14ac:dyDescent="0.3">
      <c r="T137" t="s">
        <v>1098</v>
      </c>
      <c r="U137" t="s">
        <v>574</v>
      </c>
      <c r="V137" t="s">
        <v>575</v>
      </c>
    </row>
    <row r="138" spans="20:22" x14ac:dyDescent="0.3">
      <c r="T138" t="s">
        <v>1099</v>
      </c>
      <c r="U138" t="s">
        <v>576</v>
      </c>
      <c r="V138" t="s">
        <v>411</v>
      </c>
    </row>
    <row r="139" spans="20:22" x14ac:dyDescent="0.3">
      <c r="T139" t="s">
        <v>1100</v>
      </c>
      <c r="U139" t="s">
        <v>577</v>
      </c>
      <c r="V139" t="s">
        <v>411</v>
      </c>
    </row>
    <row r="140" spans="20:22" x14ac:dyDescent="0.3">
      <c r="T140" t="s">
        <v>1101</v>
      </c>
      <c r="U140" t="s">
        <v>578</v>
      </c>
      <c r="V140" t="s">
        <v>411</v>
      </c>
    </row>
    <row r="141" spans="20:22" x14ac:dyDescent="0.3">
      <c r="T141" t="s">
        <v>1102</v>
      </c>
      <c r="U141" t="s">
        <v>579</v>
      </c>
      <c r="V141" t="s">
        <v>419</v>
      </c>
    </row>
    <row r="142" spans="20:22" x14ac:dyDescent="0.3">
      <c r="T142" t="s">
        <v>1103</v>
      </c>
      <c r="U142" t="s">
        <v>580</v>
      </c>
      <c r="V142" t="s">
        <v>581</v>
      </c>
    </row>
    <row r="143" spans="20:22" x14ac:dyDescent="0.3">
      <c r="T143" t="s">
        <v>1104</v>
      </c>
      <c r="U143" t="s">
        <v>582</v>
      </c>
      <c r="V143" t="s">
        <v>528</v>
      </c>
    </row>
    <row r="144" spans="20:22" x14ac:dyDescent="0.3">
      <c r="T144" t="s">
        <v>1105</v>
      </c>
      <c r="U144" t="s">
        <v>583</v>
      </c>
      <c r="V144" t="s">
        <v>556</v>
      </c>
    </row>
    <row r="145" spans="20:22" x14ac:dyDescent="0.3">
      <c r="T145" t="s">
        <v>1106</v>
      </c>
      <c r="U145" t="s">
        <v>584</v>
      </c>
      <c r="V145" t="s">
        <v>473</v>
      </c>
    </row>
    <row r="146" spans="20:22" x14ac:dyDescent="0.3">
      <c r="T146" t="s">
        <v>1107</v>
      </c>
      <c r="U146" t="s">
        <v>585</v>
      </c>
      <c r="V146" t="s">
        <v>245</v>
      </c>
    </row>
    <row r="147" spans="20:22" x14ac:dyDescent="0.3">
      <c r="T147" t="s">
        <v>1108</v>
      </c>
      <c r="U147" t="s">
        <v>586</v>
      </c>
      <c r="V147" t="s">
        <v>411</v>
      </c>
    </row>
    <row r="148" spans="20:22" x14ac:dyDescent="0.3">
      <c r="T148" t="s">
        <v>1109</v>
      </c>
      <c r="U148" t="s">
        <v>587</v>
      </c>
      <c r="V148" t="s">
        <v>432</v>
      </c>
    </row>
    <row r="149" spans="20:22" x14ac:dyDescent="0.3">
      <c r="T149" t="s">
        <v>1110</v>
      </c>
      <c r="U149" t="s">
        <v>588</v>
      </c>
      <c r="V149" t="s">
        <v>507</v>
      </c>
    </row>
    <row r="150" spans="20:22" x14ac:dyDescent="0.3">
      <c r="T150" t="s">
        <v>1111</v>
      </c>
      <c r="U150" t="s">
        <v>589</v>
      </c>
      <c r="V150" t="s">
        <v>411</v>
      </c>
    </row>
    <row r="151" spans="20:22" x14ac:dyDescent="0.3">
      <c r="T151" t="s">
        <v>1112</v>
      </c>
      <c r="U151" t="s">
        <v>590</v>
      </c>
      <c r="V151" t="s">
        <v>542</v>
      </c>
    </row>
    <row r="152" spans="20:22" x14ac:dyDescent="0.3">
      <c r="T152" t="s">
        <v>1113</v>
      </c>
      <c r="U152" t="s">
        <v>591</v>
      </c>
      <c r="V152" t="s">
        <v>592</v>
      </c>
    </row>
    <row r="153" spans="20:22" x14ac:dyDescent="0.3">
      <c r="T153" t="s">
        <v>1114</v>
      </c>
      <c r="U153" t="s">
        <v>593</v>
      </c>
      <c r="V153" t="s">
        <v>411</v>
      </c>
    </row>
    <row r="154" spans="20:22" x14ac:dyDescent="0.3">
      <c r="T154" t="s">
        <v>1115</v>
      </c>
      <c r="U154" t="s">
        <v>594</v>
      </c>
      <c r="V154" t="s">
        <v>595</v>
      </c>
    </row>
    <row r="155" spans="20:22" x14ac:dyDescent="0.3">
      <c r="T155" t="s">
        <v>1116</v>
      </c>
      <c r="U155" t="s">
        <v>596</v>
      </c>
      <c r="V155" t="s">
        <v>411</v>
      </c>
    </row>
    <row r="156" spans="20:22" x14ac:dyDescent="0.3">
      <c r="T156" t="s">
        <v>1117</v>
      </c>
      <c r="U156" t="s">
        <v>597</v>
      </c>
      <c r="V156" t="s">
        <v>513</v>
      </c>
    </row>
    <row r="157" spans="20:22" x14ac:dyDescent="0.3">
      <c r="T157" t="s">
        <v>1118</v>
      </c>
      <c r="U157" t="s">
        <v>598</v>
      </c>
      <c r="V157" t="s">
        <v>599</v>
      </c>
    </row>
    <row r="158" spans="20:22" x14ac:dyDescent="0.3">
      <c r="T158" t="s">
        <v>1119</v>
      </c>
      <c r="U158" t="s">
        <v>600</v>
      </c>
      <c r="V158" t="s">
        <v>407</v>
      </c>
    </row>
    <row r="159" spans="20:22" x14ac:dyDescent="0.3">
      <c r="T159" t="s">
        <v>1120</v>
      </c>
      <c r="U159" t="s">
        <v>601</v>
      </c>
      <c r="V159" t="s">
        <v>411</v>
      </c>
    </row>
    <row r="160" spans="20:22" x14ac:dyDescent="0.3">
      <c r="T160" t="s">
        <v>1121</v>
      </c>
      <c r="U160" t="s">
        <v>602</v>
      </c>
      <c r="V160" t="s">
        <v>603</v>
      </c>
    </row>
    <row r="161" spans="20:22" x14ac:dyDescent="0.3">
      <c r="T161" t="s">
        <v>1122</v>
      </c>
      <c r="U161" t="s">
        <v>604</v>
      </c>
      <c r="V161" t="s">
        <v>411</v>
      </c>
    </row>
    <row r="162" spans="20:22" x14ac:dyDescent="0.3">
      <c r="T162" t="s">
        <v>1123</v>
      </c>
      <c r="U162" t="s">
        <v>605</v>
      </c>
      <c r="V162" t="s">
        <v>496</v>
      </c>
    </row>
    <row r="163" spans="20:22" x14ac:dyDescent="0.3">
      <c r="T163" t="s">
        <v>1124</v>
      </c>
      <c r="U163" t="s">
        <v>606</v>
      </c>
      <c r="V163" t="s">
        <v>411</v>
      </c>
    </row>
    <row r="164" spans="20:22" x14ac:dyDescent="0.3">
      <c r="T164" t="s">
        <v>1125</v>
      </c>
      <c r="U164" t="s">
        <v>607</v>
      </c>
      <c r="V164" t="s">
        <v>411</v>
      </c>
    </row>
    <row r="165" spans="20:22" x14ac:dyDescent="0.3">
      <c r="T165" t="s">
        <v>1126</v>
      </c>
      <c r="U165" t="s">
        <v>608</v>
      </c>
      <c r="V165" t="s">
        <v>411</v>
      </c>
    </row>
    <row r="166" spans="20:22" x14ac:dyDescent="0.3">
      <c r="T166" t="s">
        <v>1127</v>
      </c>
      <c r="U166" t="s">
        <v>609</v>
      </c>
      <c r="V166" t="s">
        <v>411</v>
      </c>
    </row>
    <row r="167" spans="20:22" x14ac:dyDescent="0.3">
      <c r="T167" t="s">
        <v>1128</v>
      </c>
      <c r="U167" t="s">
        <v>610</v>
      </c>
      <c r="V167" t="s">
        <v>539</v>
      </c>
    </row>
    <row r="168" spans="20:22" x14ac:dyDescent="0.3">
      <c r="T168" t="s">
        <v>1129</v>
      </c>
      <c r="U168" t="s">
        <v>611</v>
      </c>
      <c r="V168" t="s">
        <v>411</v>
      </c>
    </row>
    <row r="169" spans="20:22" x14ac:dyDescent="0.3">
      <c r="T169" t="s">
        <v>1130</v>
      </c>
      <c r="U169" t="s">
        <v>612</v>
      </c>
      <c r="V169" t="s">
        <v>411</v>
      </c>
    </row>
    <row r="170" spans="20:22" x14ac:dyDescent="0.3">
      <c r="T170" t="s">
        <v>1131</v>
      </c>
      <c r="U170" t="s">
        <v>613</v>
      </c>
      <c r="V170" t="s">
        <v>528</v>
      </c>
    </row>
    <row r="171" spans="20:22" x14ac:dyDescent="0.3">
      <c r="T171" t="s">
        <v>1132</v>
      </c>
      <c r="U171" t="s">
        <v>614</v>
      </c>
      <c r="V171" t="s">
        <v>615</v>
      </c>
    </row>
    <row r="172" spans="20:22" x14ac:dyDescent="0.3">
      <c r="T172" t="s">
        <v>1133</v>
      </c>
      <c r="U172" t="s">
        <v>616</v>
      </c>
      <c r="V172" t="s">
        <v>513</v>
      </c>
    </row>
    <row r="173" spans="20:22" x14ac:dyDescent="0.3">
      <c r="T173" t="s">
        <v>1134</v>
      </c>
      <c r="U173" t="s">
        <v>617</v>
      </c>
      <c r="V173" t="s">
        <v>411</v>
      </c>
    </row>
    <row r="174" spans="20:22" x14ac:dyDescent="0.3">
      <c r="T174" t="s">
        <v>1135</v>
      </c>
      <c r="U174" t="s">
        <v>618</v>
      </c>
      <c r="V174" t="s">
        <v>241</v>
      </c>
    </row>
    <row r="175" spans="20:22" x14ac:dyDescent="0.3">
      <c r="T175" t="s">
        <v>1136</v>
      </c>
      <c r="U175" t="s">
        <v>619</v>
      </c>
      <c r="V175" t="s">
        <v>460</v>
      </c>
    </row>
    <row r="176" spans="20:22" x14ac:dyDescent="0.3">
      <c r="T176" t="s">
        <v>1137</v>
      </c>
      <c r="U176" t="s">
        <v>620</v>
      </c>
      <c r="V176" t="s">
        <v>416</v>
      </c>
    </row>
    <row r="177" spans="20:22" x14ac:dyDescent="0.3">
      <c r="T177" t="s">
        <v>1138</v>
      </c>
      <c r="U177" t="s">
        <v>621</v>
      </c>
      <c r="V177" t="s">
        <v>567</v>
      </c>
    </row>
    <row r="178" spans="20:22" x14ac:dyDescent="0.3">
      <c r="T178" t="s">
        <v>1139</v>
      </c>
      <c r="U178" t="s">
        <v>622</v>
      </c>
      <c r="V178" t="s">
        <v>411</v>
      </c>
    </row>
    <row r="179" spans="20:22" x14ac:dyDescent="0.3">
      <c r="T179" t="s">
        <v>1140</v>
      </c>
      <c r="U179" t="s">
        <v>623</v>
      </c>
      <c r="V179" t="s">
        <v>419</v>
      </c>
    </row>
    <row r="180" spans="20:22" x14ac:dyDescent="0.3">
      <c r="T180" t="s">
        <v>1141</v>
      </c>
      <c r="U180" t="s">
        <v>624</v>
      </c>
      <c r="V180" t="s">
        <v>237</v>
      </c>
    </row>
    <row r="181" spans="20:22" x14ac:dyDescent="0.3">
      <c r="T181" t="s">
        <v>1142</v>
      </c>
      <c r="U181" t="s">
        <v>625</v>
      </c>
      <c r="V181" t="s">
        <v>603</v>
      </c>
    </row>
    <row r="182" spans="20:22" x14ac:dyDescent="0.3">
      <c r="T182" t="s">
        <v>1143</v>
      </c>
      <c r="U182" t="s">
        <v>626</v>
      </c>
      <c r="V182" t="s">
        <v>556</v>
      </c>
    </row>
    <row r="183" spans="20:22" x14ac:dyDescent="0.3">
      <c r="T183" t="s">
        <v>1144</v>
      </c>
      <c r="U183" t="s">
        <v>627</v>
      </c>
      <c r="V183" t="s">
        <v>407</v>
      </c>
    </row>
    <row r="184" spans="20:22" x14ac:dyDescent="0.3">
      <c r="T184" t="s">
        <v>1145</v>
      </c>
      <c r="U184" t="s">
        <v>628</v>
      </c>
      <c r="V184" t="s">
        <v>407</v>
      </c>
    </row>
    <row r="185" spans="20:22" x14ac:dyDescent="0.3">
      <c r="T185" t="s">
        <v>1146</v>
      </c>
      <c r="U185" t="s">
        <v>629</v>
      </c>
      <c r="V185" t="s">
        <v>411</v>
      </c>
    </row>
    <row r="186" spans="20:22" x14ac:dyDescent="0.3">
      <c r="T186" t="s">
        <v>1147</v>
      </c>
      <c r="U186" t="s">
        <v>630</v>
      </c>
      <c r="V186" t="s">
        <v>599</v>
      </c>
    </row>
    <row r="187" spans="20:22" x14ac:dyDescent="0.3">
      <c r="T187" t="s">
        <v>1148</v>
      </c>
      <c r="U187" t="s">
        <v>631</v>
      </c>
      <c r="V187" t="s">
        <v>411</v>
      </c>
    </row>
    <row r="188" spans="20:22" x14ac:dyDescent="0.3">
      <c r="T188" t="s">
        <v>1149</v>
      </c>
      <c r="U188" t="s">
        <v>632</v>
      </c>
      <c r="V188" t="s">
        <v>411</v>
      </c>
    </row>
    <row r="189" spans="20:22" x14ac:dyDescent="0.3">
      <c r="T189" t="s">
        <v>1150</v>
      </c>
      <c r="U189" t="s">
        <v>633</v>
      </c>
      <c r="V189" t="s">
        <v>411</v>
      </c>
    </row>
    <row r="190" spans="20:22" x14ac:dyDescent="0.3">
      <c r="T190" t="s">
        <v>1151</v>
      </c>
      <c r="U190" t="s">
        <v>634</v>
      </c>
      <c r="V190" t="s">
        <v>411</v>
      </c>
    </row>
    <row r="191" spans="20:22" x14ac:dyDescent="0.3">
      <c r="T191" t="s">
        <v>1152</v>
      </c>
      <c r="U191" t="s">
        <v>635</v>
      </c>
      <c r="V191" t="s">
        <v>539</v>
      </c>
    </row>
    <row r="192" spans="20:22" x14ac:dyDescent="0.3">
      <c r="T192" t="s">
        <v>1153</v>
      </c>
      <c r="U192" t="s">
        <v>636</v>
      </c>
      <c r="V192" t="s">
        <v>419</v>
      </c>
    </row>
    <row r="193" spans="20:22" x14ac:dyDescent="0.3">
      <c r="T193" t="s">
        <v>1154</v>
      </c>
      <c r="U193" t="s">
        <v>637</v>
      </c>
      <c r="V193" t="s">
        <v>496</v>
      </c>
    </row>
    <row r="194" spans="20:22" x14ac:dyDescent="0.3">
      <c r="T194" t="s">
        <v>1155</v>
      </c>
      <c r="U194" t="s">
        <v>638</v>
      </c>
      <c r="V194" t="s">
        <v>411</v>
      </c>
    </row>
    <row r="195" spans="20:22" x14ac:dyDescent="0.3">
      <c r="T195" t="s">
        <v>1156</v>
      </c>
      <c r="U195" t="s">
        <v>639</v>
      </c>
      <c r="V195" t="s">
        <v>615</v>
      </c>
    </row>
    <row r="196" spans="20:22" x14ac:dyDescent="0.3">
      <c r="T196" t="s">
        <v>1157</v>
      </c>
      <c r="U196" t="s">
        <v>640</v>
      </c>
      <c r="V196" t="s">
        <v>419</v>
      </c>
    </row>
    <row r="197" spans="20:22" x14ac:dyDescent="0.3">
      <c r="T197" t="s">
        <v>1158</v>
      </c>
      <c r="U197" t="s">
        <v>641</v>
      </c>
      <c r="V197" t="s">
        <v>419</v>
      </c>
    </row>
    <row r="198" spans="20:22" x14ac:dyDescent="0.3">
      <c r="T198" t="s">
        <v>1159</v>
      </c>
      <c r="U198" t="s">
        <v>642</v>
      </c>
      <c r="V198" t="s">
        <v>419</v>
      </c>
    </row>
    <row r="199" spans="20:22" x14ac:dyDescent="0.3">
      <c r="T199" t="s">
        <v>1160</v>
      </c>
      <c r="U199" t="s">
        <v>643</v>
      </c>
      <c r="V199" t="s">
        <v>237</v>
      </c>
    </row>
    <row r="200" spans="20:22" x14ac:dyDescent="0.3">
      <c r="T200" t="s">
        <v>1161</v>
      </c>
      <c r="U200" t="s">
        <v>644</v>
      </c>
      <c r="V200" t="s">
        <v>452</v>
      </c>
    </row>
    <row r="201" spans="20:22" x14ac:dyDescent="0.3">
      <c r="T201" t="s">
        <v>1162</v>
      </c>
      <c r="U201" t="s">
        <v>645</v>
      </c>
      <c r="V201" t="s">
        <v>411</v>
      </c>
    </row>
    <row r="202" spans="20:22" x14ac:dyDescent="0.3">
      <c r="T202" t="s">
        <v>1163</v>
      </c>
      <c r="U202" t="s">
        <v>646</v>
      </c>
      <c r="V202" t="s">
        <v>411</v>
      </c>
    </row>
    <row r="203" spans="20:22" x14ac:dyDescent="0.3">
      <c r="T203" t="s">
        <v>1164</v>
      </c>
      <c r="U203" t="s">
        <v>647</v>
      </c>
      <c r="V203" t="s">
        <v>411</v>
      </c>
    </row>
    <row r="204" spans="20:22" x14ac:dyDescent="0.3">
      <c r="T204" t="s">
        <v>1165</v>
      </c>
      <c r="U204" t="s">
        <v>648</v>
      </c>
      <c r="V204" t="s">
        <v>413</v>
      </c>
    </row>
    <row r="205" spans="20:22" x14ac:dyDescent="0.3">
      <c r="T205" t="s">
        <v>1166</v>
      </c>
      <c r="U205" t="s">
        <v>649</v>
      </c>
      <c r="V205" t="s">
        <v>422</v>
      </c>
    </row>
    <row r="206" spans="20:22" x14ac:dyDescent="0.3">
      <c r="T206" t="s">
        <v>1167</v>
      </c>
      <c r="U206" t="s">
        <v>650</v>
      </c>
      <c r="V206" t="s">
        <v>411</v>
      </c>
    </row>
    <row r="207" spans="20:22" x14ac:dyDescent="0.3">
      <c r="T207" t="s">
        <v>1168</v>
      </c>
      <c r="U207" t="s">
        <v>651</v>
      </c>
      <c r="V207" t="s">
        <v>411</v>
      </c>
    </row>
    <row r="208" spans="20:22" x14ac:dyDescent="0.3">
      <c r="T208" t="s">
        <v>1169</v>
      </c>
      <c r="U208" t="s">
        <v>652</v>
      </c>
      <c r="V208" t="s">
        <v>539</v>
      </c>
    </row>
    <row r="209" spans="20:22" x14ac:dyDescent="0.3">
      <c r="T209" t="s">
        <v>1170</v>
      </c>
      <c r="U209" t="s">
        <v>653</v>
      </c>
      <c r="V209" t="s">
        <v>575</v>
      </c>
    </row>
    <row r="210" spans="20:22" x14ac:dyDescent="0.3">
      <c r="T210" t="s">
        <v>1171</v>
      </c>
      <c r="U210" t="s">
        <v>654</v>
      </c>
      <c r="V210" t="s">
        <v>411</v>
      </c>
    </row>
    <row r="211" spans="20:22" x14ac:dyDescent="0.3">
      <c r="T211" t="s">
        <v>1172</v>
      </c>
      <c r="U211" t="s">
        <v>655</v>
      </c>
      <c r="V211" t="s">
        <v>411</v>
      </c>
    </row>
    <row r="212" spans="20:22" x14ac:dyDescent="0.3">
      <c r="T212" t="s">
        <v>1173</v>
      </c>
      <c r="U212" t="s">
        <v>656</v>
      </c>
      <c r="V212" t="s">
        <v>521</v>
      </c>
    </row>
    <row r="213" spans="20:22" x14ac:dyDescent="0.3">
      <c r="T213" t="s">
        <v>1174</v>
      </c>
      <c r="U213" t="s">
        <v>657</v>
      </c>
      <c r="V213" t="s">
        <v>419</v>
      </c>
    </row>
    <row r="214" spans="20:22" x14ac:dyDescent="0.3">
      <c r="T214" t="s">
        <v>1175</v>
      </c>
      <c r="U214" t="s">
        <v>658</v>
      </c>
      <c r="V214" t="s">
        <v>411</v>
      </c>
    </row>
    <row r="215" spans="20:22" x14ac:dyDescent="0.3">
      <c r="T215" t="s">
        <v>1176</v>
      </c>
      <c r="U215" t="s">
        <v>659</v>
      </c>
      <c r="V215" t="s">
        <v>419</v>
      </c>
    </row>
    <row r="216" spans="20:22" x14ac:dyDescent="0.3">
      <c r="T216" t="s">
        <v>1177</v>
      </c>
      <c r="U216" t="s">
        <v>660</v>
      </c>
      <c r="V216" t="s">
        <v>661</v>
      </c>
    </row>
    <row r="217" spans="20:22" x14ac:dyDescent="0.3">
      <c r="T217" t="s">
        <v>1178</v>
      </c>
      <c r="U217" t="s">
        <v>662</v>
      </c>
      <c r="V217" t="s">
        <v>411</v>
      </c>
    </row>
    <row r="218" spans="20:22" x14ac:dyDescent="0.3">
      <c r="T218" t="s">
        <v>1179</v>
      </c>
      <c r="U218" t="s">
        <v>663</v>
      </c>
      <c r="V218" t="s">
        <v>542</v>
      </c>
    </row>
    <row r="219" spans="20:22" x14ac:dyDescent="0.3">
      <c r="T219" t="s">
        <v>1180</v>
      </c>
      <c r="U219" t="s">
        <v>664</v>
      </c>
      <c r="V219" t="s">
        <v>535</v>
      </c>
    </row>
    <row r="220" spans="20:22" x14ac:dyDescent="0.3">
      <c r="T220" t="s">
        <v>1181</v>
      </c>
      <c r="U220" t="s">
        <v>665</v>
      </c>
      <c r="V220" t="s">
        <v>411</v>
      </c>
    </row>
    <row r="221" spans="20:22" x14ac:dyDescent="0.3">
      <c r="T221" t="s">
        <v>1182</v>
      </c>
      <c r="U221" t="s">
        <v>666</v>
      </c>
      <c r="V221" t="s">
        <v>419</v>
      </c>
    </row>
    <row r="222" spans="20:22" x14ac:dyDescent="0.3">
      <c r="T222" t="s">
        <v>1183</v>
      </c>
      <c r="U222" t="s">
        <v>667</v>
      </c>
      <c r="V222" t="s">
        <v>428</v>
      </c>
    </row>
    <row r="223" spans="20:22" x14ac:dyDescent="0.3">
      <c r="T223" t="s">
        <v>1184</v>
      </c>
      <c r="U223" t="s">
        <v>668</v>
      </c>
      <c r="V223" t="s">
        <v>544</v>
      </c>
    </row>
    <row r="224" spans="20:22" x14ac:dyDescent="0.3">
      <c r="T224" t="s">
        <v>1185</v>
      </c>
      <c r="U224" t="s">
        <v>669</v>
      </c>
      <c r="V224" t="s">
        <v>411</v>
      </c>
    </row>
    <row r="225" spans="20:22" x14ac:dyDescent="0.3">
      <c r="T225" t="s">
        <v>1186</v>
      </c>
      <c r="U225" t="s">
        <v>670</v>
      </c>
      <c r="V225" t="s">
        <v>548</v>
      </c>
    </row>
    <row r="226" spans="20:22" x14ac:dyDescent="0.3">
      <c r="T226" t="s">
        <v>1187</v>
      </c>
      <c r="U226" t="s">
        <v>671</v>
      </c>
      <c r="V226" t="s">
        <v>672</v>
      </c>
    </row>
    <row r="227" spans="20:22" x14ac:dyDescent="0.3">
      <c r="T227" t="s">
        <v>1188</v>
      </c>
      <c r="U227" t="s">
        <v>673</v>
      </c>
      <c r="V227" t="s">
        <v>411</v>
      </c>
    </row>
    <row r="228" spans="20:22" x14ac:dyDescent="0.3">
      <c r="T228" t="s">
        <v>1189</v>
      </c>
      <c r="U228" t="s">
        <v>674</v>
      </c>
      <c r="V228" t="s">
        <v>241</v>
      </c>
    </row>
    <row r="229" spans="20:22" x14ac:dyDescent="0.3">
      <c r="T229" t="s">
        <v>1190</v>
      </c>
      <c r="U229" t="s">
        <v>675</v>
      </c>
      <c r="V229" t="s">
        <v>241</v>
      </c>
    </row>
    <row r="230" spans="20:22" x14ac:dyDescent="0.3">
      <c r="T230" t="s">
        <v>1191</v>
      </c>
      <c r="U230" t="s">
        <v>676</v>
      </c>
      <c r="V230" t="s">
        <v>411</v>
      </c>
    </row>
    <row r="231" spans="20:22" x14ac:dyDescent="0.3">
      <c r="T231" t="s">
        <v>1192</v>
      </c>
      <c r="U231" t="s">
        <v>677</v>
      </c>
      <c r="V231" t="s">
        <v>521</v>
      </c>
    </row>
    <row r="232" spans="20:22" x14ac:dyDescent="0.3">
      <c r="T232" t="s">
        <v>1193</v>
      </c>
      <c r="U232" t="s">
        <v>678</v>
      </c>
      <c r="V232" t="s">
        <v>411</v>
      </c>
    </row>
    <row r="233" spans="20:22" x14ac:dyDescent="0.3">
      <c r="T233" t="s">
        <v>1194</v>
      </c>
      <c r="U233" t="s">
        <v>679</v>
      </c>
      <c r="V233" t="s">
        <v>419</v>
      </c>
    </row>
    <row r="234" spans="20:22" x14ac:dyDescent="0.3">
      <c r="T234" t="s">
        <v>1195</v>
      </c>
      <c r="U234" t="s">
        <v>680</v>
      </c>
      <c r="V234" t="s">
        <v>603</v>
      </c>
    </row>
    <row r="235" spans="20:22" x14ac:dyDescent="0.3">
      <c r="T235" t="s">
        <v>1196</v>
      </c>
      <c r="U235" t="s">
        <v>681</v>
      </c>
      <c r="V235" t="s">
        <v>682</v>
      </c>
    </row>
    <row r="236" spans="20:22" x14ac:dyDescent="0.3">
      <c r="T236" t="s">
        <v>1197</v>
      </c>
      <c r="U236" t="s">
        <v>683</v>
      </c>
      <c r="V236" t="s">
        <v>419</v>
      </c>
    </row>
    <row r="237" spans="20:22" x14ac:dyDescent="0.3">
      <c r="T237" t="s">
        <v>1198</v>
      </c>
      <c r="U237" t="s">
        <v>684</v>
      </c>
      <c r="V237" t="s">
        <v>496</v>
      </c>
    </row>
    <row r="238" spans="20:22" x14ac:dyDescent="0.3">
      <c r="T238" t="s">
        <v>1199</v>
      </c>
      <c r="U238" t="s">
        <v>685</v>
      </c>
      <c r="V238" t="s">
        <v>419</v>
      </c>
    </row>
    <row r="239" spans="20:22" x14ac:dyDescent="0.3">
      <c r="T239" t="s">
        <v>1200</v>
      </c>
      <c r="U239" t="s">
        <v>686</v>
      </c>
      <c r="V239" t="s">
        <v>411</v>
      </c>
    </row>
    <row r="240" spans="20:22" x14ac:dyDescent="0.3">
      <c r="T240" t="s">
        <v>1201</v>
      </c>
      <c r="U240" t="s">
        <v>687</v>
      </c>
      <c r="V240" t="s">
        <v>413</v>
      </c>
    </row>
    <row r="241" spans="20:22" x14ac:dyDescent="0.3">
      <c r="T241" t="s">
        <v>1202</v>
      </c>
      <c r="U241" t="s">
        <v>688</v>
      </c>
      <c r="V241" t="s">
        <v>603</v>
      </c>
    </row>
    <row r="242" spans="20:22" x14ac:dyDescent="0.3">
      <c r="T242" t="s">
        <v>1203</v>
      </c>
      <c r="U242" t="s">
        <v>689</v>
      </c>
      <c r="V242" t="s">
        <v>411</v>
      </c>
    </row>
    <row r="243" spans="20:22" x14ac:dyDescent="0.3">
      <c r="T243" t="s">
        <v>1204</v>
      </c>
      <c r="U243" t="s">
        <v>690</v>
      </c>
      <c r="V243" t="s">
        <v>411</v>
      </c>
    </row>
    <row r="244" spans="20:22" x14ac:dyDescent="0.3">
      <c r="T244" t="s">
        <v>1205</v>
      </c>
      <c r="U244" t="s">
        <v>691</v>
      </c>
      <c r="V244" t="s">
        <v>692</v>
      </c>
    </row>
    <row r="245" spans="20:22" x14ac:dyDescent="0.3">
      <c r="T245" t="s">
        <v>1206</v>
      </c>
      <c r="U245" t="s">
        <v>693</v>
      </c>
      <c r="V245" t="s">
        <v>411</v>
      </c>
    </row>
    <row r="246" spans="20:22" x14ac:dyDescent="0.3">
      <c r="T246" t="s">
        <v>1207</v>
      </c>
      <c r="U246" t="s">
        <v>694</v>
      </c>
      <c r="V246" t="s">
        <v>411</v>
      </c>
    </row>
    <row r="247" spans="20:22" x14ac:dyDescent="0.3">
      <c r="T247" t="s">
        <v>1208</v>
      </c>
      <c r="U247" t="s">
        <v>695</v>
      </c>
      <c r="V247" t="s">
        <v>411</v>
      </c>
    </row>
    <row r="248" spans="20:22" x14ac:dyDescent="0.3">
      <c r="T248" t="s">
        <v>1209</v>
      </c>
      <c r="U248" t="s">
        <v>696</v>
      </c>
      <c r="V248" t="s">
        <v>419</v>
      </c>
    </row>
    <row r="249" spans="20:22" x14ac:dyDescent="0.3">
      <c r="T249" t="s">
        <v>1210</v>
      </c>
      <c r="U249" t="s">
        <v>697</v>
      </c>
      <c r="V249" t="s">
        <v>698</v>
      </c>
    </row>
    <row r="250" spans="20:22" x14ac:dyDescent="0.3">
      <c r="T250" t="s">
        <v>1211</v>
      </c>
      <c r="U250" t="s">
        <v>699</v>
      </c>
      <c r="V250" t="s">
        <v>411</v>
      </c>
    </row>
    <row r="251" spans="20:22" x14ac:dyDescent="0.3">
      <c r="T251" t="s">
        <v>1212</v>
      </c>
      <c r="U251" t="s">
        <v>700</v>
      </c>
      <c r="V251" t="s">
        <v>411</v>
      </c>
    </row>
    <row r="252" spans="20:22" x14ac:dyDescent="0.3">
      <c r="T252" t="s">
        <v>1213</v>
      </c>
      <c r="U252" t="s">
        <v>701</v>
      </c>
      <c r="V252" t="s">
        <v>419</v>
      </c>
    </row>
    <row r="253" spans="20:22" x14ac:dyDescent="0.3">
      <c r="T253" t="s">
        <v>1214</v>
      </c>
      <c r="U253" t="s">
        <v>702</v>
      </c>
      <c r="V253" t="s">
        <v>411</v>
      </c>
    </row>
    <row r="254" spans="20:22" x14ac:dyDescent="0.3">
      <c r="T254" t="s">
        <v>1215</v>
      </c>
      <c r="U254" t="s">
        <v>703</v>
      </c>
      <c r="V254" t="s">
        <v>548</v>
      </c>
    </row>
    <row r="255" spans="20:22" x14ac:dyDescent="0.3">
      <c r="T255" t="s">
        <v>1216</v>
      </c>
      <c r="U255" t="s">
        <v>704</v>
      </c>
      <c r="V255" t="s">
        <v>411</v>
      </c>
    </row>
    <row r="256" spans="20:22" x14ac:dyDescent="0.3">
      <c r="T256" t="s">
        <v>1217</v>
      </c>
      <c r="U256" t="s">
        <v>705</v>
      </c>
      <c r="V256" t="s">
        <v>469</v>
      </c>
    </row>
    <row r="257" spans="20:22" x14ac:dyDescent="0.3">
      <c r="T257" t="s">
        <v>1218</v>
      </c>
      <c r="U257" t="s">
        <v>706</v>
      </c>
      <c r="V257" t="s">
        <v>411</v>
      </c>
    </row>
    <row r="258" spans="20:22" x14ac:dyDescent="0.3">
      <c r="T258" t="s">
        <v>1219</v>
      </c>
      <c r="U258" t="s">
        <v>707</v>
      </c>
      <c r="V258" t="s">
        <v>465</v>
      </c>
    </row>
    <row r="259" spans="20:22" x14ac:dyDescent="0.3">
      <c r="T259" t="s">
        <v>1220</v>
      </c>
      <c r="U259" t="s">
        <v>708</v>
      </c>
      <c r="V259" t="s">
        <v>419</v>
      </c>
    </row>
    <row r="260" spans="20:22" x14ac:dyDescent="0.3">
      <c r="T260" t="s">
        <v>1221</v>
      </c>
      <c r="U260" t="s">
        <v>709</v>
      </c>
      <c r="V260" t="s">
        <v>411</v>
      </c>
    </row>
    <row r="261" spans="20:22" x14ac:dyDescent="0.3">
      <c r="T261" t="s">
        <v>1222</v>
      </c>
      <c r="U261" t="s">
        <v>710</v>
      </c>
      <c r="V261" t="s">
        <v>411</v>
      </c>
    </row>
    <row r="262" spans="20:22" x14ac:dyDescent="0.3">
      <c r="T262" t="s">
        <v>1223</v>
      </c>
      <c r="U262" t="s">
        <v>711</v>
      </c>
      <c r="V262" t="s">
        <v>411</v>
      </c>
    </row>
    <row r="263" spans="20:22" x14ac:dyDescent="0.3">
      <c r="T263" t="s">
        <v>1224</v>
      </c>
      <c r="U263" t="s">
        <v>712</v>
      </c>
      <c r="V263" t="s">
        <v>411</v>
      </c>
    </row>
    <row r="264" spans="20:22" x14ac:dyDescent="0.3">
      <c r="T264" t="s">
        <v>1225</v>
      </c>
      <c r="U264" t="s">
        <v>713</v>
      </c>
      <c r="V264" t="s">
        <v>419</v>
      </c>
    </row>
    <row r="265" spans="20:22" x14ac:dyDescent="0.3">
      <c r="T265" t="s">
        <v>1226</v>
      </c>
      <c r="U265" t="s">
        <v>714</v>
      </c>
      <c r="V265" t="s">
        <v>237</v>
      </c>
    </row>
    <row r="266" spans="20:22" x14ac:dyDescent="0.3">
      <c r="T266" t="s">
        <v>1227</v>
      </c>
      <c r="U266" t="s">
        <v>715</v>
      </c>
      <c r="V266" t="s">
        <v>716</v>
      </c>
    </row>
    <row r="267" spans="20:22" x14ac:dyDescent="0.3">
      <c r="T267" t="s">
        <v>1228</v>
      </c>
      <c r="U267" t="s">
        <v>717</v>
      </c>
      <c r="V267" t="s">
        <v>411</v>
      </c>
    </row>
    <row r="268" spans="20:22" x14ac:dyDescent="0.3">
      <c r="T268" t="s">
        <v>1229</v>
      </c>
      <c r="U268" t="s">
        <v>718</v>
      </c>
      <c r="V268" t="s">
        <v>411</v>
      </c>
    </row>
    <row r="269" spans="20:22" x14ac:dyDescent="0.3">
      <c r="T269" t="s">
        <v>1230</v>
      </c>
      <c r="U269" t="s">
        <v>719</v>
      </c>
      <c r="V269" t="s">
        <v>411</v>
      </c>
    </row>
    <row r="270" spans="20:22" x14ac:dyDescent="0.3">
      <c r="T270" t="s">
        <v>1231</v>
      </c>
      <c r="U270" t="s">
        <v>720</v>
      </c>
      <c r="V270" t="s">
        <v>507</v>
      </c>
    </row>
    <row r="271" spans="20:22" x14ac:dyDescent="0.3">
      <c r="T271" t="s">
        <v>1232</v>
      </c>
      <c r="U271" t="s">
        <v>721</v>
      </c>
      <c r="V271" t="s">
        <v>722</v>
      </c>
    </row>
    <row r="272" spans="20:22" x14ac:dyDescent="0.3">
      <c r="T272" t="s">
        <v>1233</v>
      </c>
      <c r="U272" t="s">
        <v>723</v>
      </c>
      <c r="V272" t="s">
        <v>661</v>
      </c>
    </row>
    <row r="273" spans="20:22" x14ac:dyDescent="0.3">
      <c r="T273" t="s">
        <v>1234</v>
      </c>
      <c r="U273" t="s">
        <v>724</v>
      </c>
      <c r="V273" t="s">
        <v>544</v>
      </c>
    </row>
    <row r="274" spans="20:22" x14ac:dyDescent="0.3">
      <c r="T274" t="s">
        <v>1235</v>
      </c>
      <c r="U274" t="s">
        <v>725</v>
      </c>
      <c r="V274" t="s">
        <v>551</v>
      </c>
    </row>
    <row r="275" spans="20:22" x14ac:dyDescent="0.3">
      <c r="T275" t="s">
        <v>1236</v>
      </c>
      <c r="U275" t="s">
        <v>726</v>
      </c>
      <c r="V275" t="s">
        <v>411</v>
      </c>
    </row>
    <row r="276" spans="20:22" x14ac:dyDescent="0.3">
      <c r="T276" t="s">
        <v>1484</v>
      </c>
      <c r="U276" t="s">
        <v>727</v>
      </c>
      <c r="V276" t="s">
        <v>416</v>
      </c>
    </row>
    <row r="277" spans="20:22" x14ac:dyDescent="0.3">
      <c r="T277" t="s">
        <v>1237</v>
      </c>
      <c r="U277" t="s">
        <v>728</v>
      </c>
      <c r="V277" t="s">
        <v>592</v>
      </c>
    </row>
    <row r="278" spans="20:22" x14ac:dyDescent="0.3">
      <c r="T278" t="s">
        <v>1238</v>
      </c>
      <c r="U278" t="s">
        <v>729</v>
      </c>
      <c r="V278" t="s">
        <v>692</v>
      </c>
    </row>
    <row r="279" spans="20:22" x14ac:dyDescent="0.3">
      <c r="T279" t="s">
        <v>1239</v>
      </c>
      <c r="U279" t="s">
        <v>730</v>
      </c>
      <c r="V279" t="s">
        <v>411</v>
      </c>
    </row>
    <row r="280" spans="20:22" x14ac:dyDescent="0.3">
      <c r="T280" t="s">
        <v>1240</v>
      </c>
      <c r="U280" t="s">
        <v>731</v>
      </c>
      <c r="V280" t="s">
        <v>411</v>
      </c>
    </row>
    <row r="281" spans="20:22" x14ac:dyDescent="0.3">
      <c r="T281" t="s">
        <v>1241</v>
      </c>
      <c r="U281" t="s">
        <v>732</v>
      </c>
      <c r="V281" t="s">
        <v>496</v>
      </c>
    </row>
    <row r="282" spans="20:22" x14ac:dyDescent="0.3">
      <c r="T282" t="s">
        <v>1242</v>
      </c>
      <c r="U282" t="s">
        <v>733</v>
      </c>
      <c r="V282" t="s">
        <v>595</v>
      </c>
    </row>
    <row r="283" spans="20:22" x14ac:dyDescent="0.3">
      <c r="T283" t="s">
        <v>1243</v>
      </c>
      <c r="U283" t="s">
        <v>734</v>
      </c>
      <c r="V283" t="s">
        <v>416</v>
      </c>
    </row>
    <row r="284" spans="20:22" x14ac:dyDescent="0.3">
      <c r="T284" t="s">
        <v>1244</v>
      </c>
      <c r="U284" t="s">
        <v>735</v>
      </c>
      <c r="V284" t="s">
        <v>411</v>
      </c>
    </row>
    <row r="285" spans="20:22" x14ac:dyDescent="0.3">
      <c r="T285" t="s">
        <v>1245</v>
      </c>
      <c r="U285" t="s">
        <v>736</v>
      </c>
      <c r="V285" t="s">
        <v>419</v>
      </c>
    </row>
    <row r="286" spans="20:22" x14ac:dyDescent="0.3">
      <c r="T286" t="s">
        <v>1246</v>
      </c>
      <c r="U286" t="s">
        <v>737</v>
      </c>
      <c r="V286" t="s">
        <v>482</v>
      </c>
    </row>
    <row r="287" spans="20:22" x14ac:dyDescent="0.3">
      <c r="T287" t="s">
        <v>1247</v>
      </c>
      <c r="U287" t="s">
        <v>738</v>
      </c>
      <c r="V287" t="s">
        <v>411</v>
      </c>
    </row>
    <row r="288" spans="20:22" x14ac:dyDescent="0.3">
      <c r="T288" t="s">
        <v>1248</v>
      </c>
      <c r="U288" t="s">
        <v>739</v>
      </c>
      <c r="V288" t="s">
        <v>411</v>
      </c>
    </row>
    <row r="289" spans="20:22" x14ac:dyDescent="0.3">
      <c r="T289" t="s">
        <v>1249</v>
      </c>
      <c r="U289" t="s">
        <v>740</v>
      </c>
      <c r="V289" t="s">
        <v>419</v>
      </c>
    </row>
    <row r="290" spans="20:22" x14ac:dyDescent="0.3">
      <c r="T290" t="s">
        <v>1250</v>
      </c>
      <c r="U290" t="s">
        <v>741</v>
      </c>
      <c r="V290" t="s">
        <v>672</v>
      </c>
    </row>
    <row r="291" spans="20:22" x14ac:dyDescent="0.3">
      <c r="T291" t="s">
        <v>1251</v>
      </c>
      <c r="U291" t="s">
        <v>742</v>
      </c>
      <c r="V291" t="s">
        <v>581</v>
      </c>
    </row>
    <row r="292" spans="20:22" x14ac:dyDescent="0.3">
      <c r="T292" t="s">
        <v>1252</v>
      </c>
      <c r="U292" t="s">
        <v>743</v>
      </c>
      <c r="V292" t="s">
        <v>411</v>
      </c>
    </row>
    <row r="293" spans="20:22" x14ac:dyDescent="0.3">
      <c r="T293" t="s">
        <v>1253</v>
      </c>
      <c r="U293" t="s">
        <v>744</v>
      </c>
      <c r="V293" t="s">
        <v>411</v>
      </c>
    </row>
    <row r="294" spans="20:22" x14ac:dyDescent="0.3">
      <c r="T294" t="s">
        <v>1254</v>
      </c>
      <c r="U294" t="s">
        <v>745</v>
      </c>
      <c r="V294" t="s">
        <v>682</v>
      </c>
    </row>
    <row r="295" spans="20:22" x14ac:dyDescent="0.3">
      <c r="T295" t="s">
        <v>1255</v>
      </c>
      <c r="U295" t="s">
        <v>746</v>
      </c>
      <c r="V295" t="s">
        <v>581</v>
      </c>
    </row>
    <row r="296" spans="20:22" x14ac:dyDescent="0.3">
      <c r="T296" t="s">
        <v>1256</v>
      </c>
      <c r="U296" t="s">
        <v>747</v>
      </c>
      <c r="V296" t="s">
        <v>672</v>
      </c>
    </row>
    <row r="297" spans="20:22" x14ac:dyDescent="0.3">
      <c r="T297" t="s">
        <v>1257</v>
      </c>
      <c r="U297" t="s">
        <v>748</v>
      </c>
      <c r="V297" t="s">
        <v>465</v>
      </c>
    </row>
    <row r="298" spans="20:22" x14ac:dyDescent="0.3">
      <c r="T298" t="s">
        <v>1258</v>
      </c>
      <c r="U298" t="s">
        <v>749</v>
      </c>
      <c r="V298" t="s">
        <v>750</v>
      </c>
    </row>
    <row r="299" spans="20:22" x14ac:dyDescent="0.3">
      <c r="T299" t="s">
        <v>1259</v>
      </c>
      <c r="U299" t="s">
        <v>751</v>
      </c>
      <c r="V299" t="s">
        <v>592</v>
      </c>
    </row>
    <row r="300" spans="20:22" x14ac:dyDescent="0.3">
      <c r="T300" t="s">
        <v>1260</v>
      </c>
      <c r="U300" t="s">
        <v>752</v>
      </c>
      <c r="V300" t="s">
        <v>419</v>
      </c>
    </row>
    <row r="301" spans="20:22" x14ac:dyDescent="0.3">
      <c r="T301" t="s">
        <v>1261</v>
      </c>
      <c r="U301" t="s">
        <v>753</v>
      </c>
      <c r="V301" t="s">
        <v>419</v>
      </c>
    </row>
    <row r="302" spans="20:22" x14ac:dyDescent="0.3">
      <c r="T302" t="s">
        <v>1262</v>
      </c>
      <c r="U302" t="s">
        <v>754</v>
      </c>
      <c r="V302" t="s">
        <v>567</v>
      </c>
    </row>
    <row r="303" spans="20:22" x14ac:dyDescent="0.3">
      <c r="T303" t="s">
        <v>1263</v>
      </c>
      <c r="U303" t="s">
        <v>755</v>
      </c>
      <c r="V303" t="s">
        <v>419</v>
      </c>
    </row>
    <row r="304" spans="20:22" x14ac:dyDescent="0.3">
      <c r="T304" t="s">
        <v>1264</v>
      </c>
      <c r="U304" t="s">
        <v>756</v>
      </c>
      <c r="V304" t="s">
        <v>419</v>
      </c>
    </row>
    <row r="305" spans="20:22" x14ac:dyDescent="0.3">
      <c r="T305" t="s">
        <v>1265</v>
      </c>
      <c r="U305" t="s">
        <v>757</v>
      </c>
      <c r="V305" t="s">
        <v>521</v>
      </c>
    </row>
    <row r="306" spans="20:22" x14ac:dyDescent="0.3">
      <c r="T306" t="s">
        <v>1266</v>
      </c>
      <c r="U306" t="s">
        <v>758</v>
      </c>
      <c r="V306" t="s">
        <v>411</v>
      </c>
    </row>
    <row r="307" spans="20:22" x14ac:dyDescent="0.3">
      <c r="T307" t="s">
        <v>1267</v>
      </c>
      <c r="U307" t="s">
        <v>759</v>
      </c>
      <c r="V307" t="s">
        <v>592</v>
      </c>
    </row>
    <row r="308" spans="20:22" x14ac:dyDescent="0.3">
      <c r="T308" t="s">
        <v>1268</v>
      </c>
      <c r="U308" t="s">
        <v>760</v>
      </c>
      <c r="V308" t="s">
        <v>615</v>
      </c>
    </row>
    <row r="309" spans="20:22" x14ac:dyDescent="0.3">
      <c r="T309" t="s">
        <v>1269</v>
      </c>
      <c r="U309" t="s">
        <v>761</v>
      </c>
      <c r="V309" t="s">
        <v>419</v>
      </c>
    </row>
    <row r="310" spans="20:22" x14ac:dyDescent="0.3">
      <c r="T310" t="s">
        <v>1270</v>
      </c>
      <c r="U310" t="s">
        <v>762</v>
      </c>
      <c r="V310" t="s">
        <v>419</v>
      </c>
    </row>
    <row r="311" spans="20:22" x14ac:dyDescent="0.3">
      <c r="T311" t="s">
        <v>1271</v>
      </c>
      <c r="U311" t="s">
        <v>763</v>
      </c>
      <c r="V311" t="s">
        <v>764</v>
      </c>
    </row>
    <row r="312" spans="20:22" x14ac:dyDescent="0.3">
      <c r="T312" t="s">
        <v>1272</v>
      </c>
      <c r="U312" t="s">
        <v>765</v>
      </c>
      <c r="V312" t="s">
        <v>243</v>
      </c>
    </row>
    <row r="313" spans="20:22" x14ac:dyDescent="0.3">
      <c r="T313" t="s">
        <v>1273</v>
      </c>
      <c r="U313" t="s">
        <v>766</v>
      </c>
      <c r="V313" t="s">
        <v>419</v>
      </c>
    </row>
    <row r="314" spans="20:22" x14ac:dyDescent="0.3">
      <c r="T314" t="s">
        <v>1274</v>
      </c>
      <c r="U314" t="s">
        <v>767</v>
      </c>
      <c r="V314" t="s">
        <v>419</v>
      </c>
    </row>
    <row r="315" spans="20:22" x14ac:dyDescent="0.3">
      <c r="T315" t="s">
        <v>1275</v>
      </c>
      <c r="U315" t="s">
        <v>768</v>
      </c>
      <c r="V315" t="s">
        <v>237</v>
      </c>
    </row>
    <row r="316" spans="20:22" x14ac:dyDescent="0.3">
      <c r="T316" t="s">
        <v>1276</v>
      </c>
      <c r="U316" t="s">
        <v>769</v>
      </c>
      <c r="V316">
        <v>907</v>
      </c>
    </row>
    <row r="317" spans="20:22" x14ac:dyDescent="0.3">
      <c r="T317" t="s">
        <v>1277</v>
      </c>
      <c r="U317" t="s">
        <v>770</v>
      </c>
      <c r="V317" t="s">
        <v>411</v>
      </c>
    </row>
    <row r="318" spans="20:22" x14ac:dyDescent="0.3">
      <c r="T318" t="s">
        <v>1278</v>
      </c>
      <c r="U318" t="s">
        <v>771</v>
      </c>
      <c r="V318" t="s">
        <v>411</v>
      </c>
    </row>
    <row r="319" spans="20:22" x14ac:dyDescent="0.3">
      <c r="T319" t="s">
        <v>1279</v>
      </c>
      <c r="U319" t="s">
        <v>772</v>
      </c>
      <c r="V319" t="s">
        <v>439</v>
      </c>
    </row>
    <row r="320" spans="20:22" x14ac:dyDescent="0.3">
      <c r="T320" t="s">
        <v>1280</v>
      </c>
      <c r="U320" t="s">
        <v>773</v>
      </c>
      <c r="V320" t="s">
        <v>411</v>
      </c>
    </row>
    <row r="321" spans="20:22" x14ac:dyDescent="0.3">
      <c r="T321" t="s">
        <v>1281</v>
      </c>
      <c r="U321" t="s">
        <v>774</v>
      </c>
      <c r="V321" t="s">
        <v>535</v>
      </c>
    </row>
    <row r="322" spans="20:22" x14ac:dyDescent="0.3">
      <c r="T322" t="s">
        <v>1282</v>
      </c>
      <c r="U322" t="s">
        <v>775</v>
      </c>
      <c r="V322" t="s">
        <v>439</v>
      </c>
    </row>
    <row r="323" spans="20:22" x14ac:dyDescent="0.3">
      <c r="T323" t="s">
        <v>1283</v>
      </c>
      <c r="U323" t="s">
        <v>776</v>
      </c>
      <c r="V323" t="s">
        <v>411</v>
      </c>
    </row>
    <row r="324" spans="20:22" x14ac:dyDescent="0.3">
      <c r="T324" t="s">
        <v>1284</v>
      </c>
      <c r="U324" t="s">
        <v>777</v>
      </c>
      <c r="V324" t="s">
        <v>521</v>
      </c>
    </row>
    <row r="325" spans="20:22" x14ac:dyDescent="0.3">
      <c r="T325" t="s">
        <v>1285</v>
      </c>
      <c r="U325" t="s">
        <v>778</v>
      </c>
      <c r="V325" t="s">
        <v>672</v>
      </c>
    </row>
    <row r="326" spans="20:22" x14ac:dyDescent="0.3">
      <c r="T326" t="s">
        <v>1286</v>
      </c>
      <c r="U326" t="s">
        <v>779</v>
      </c>
      <c r="V326" t="s">
        <v>411</v>
      </c>
    </row>
    <row r="327" spans="20:22" x14ac:dyDescent="0.3">
      <c r="T327" t="s">
        <v>1287</v>
      </c>
      <c r="U327" t="s">
        <v>780</v>
      </c>
      <c r="V327" t="s">
        <v>411</v>
      </c>
    </row>
    <row r="328" spans="20:22" x14ac:dyDescent="0.3">
      <c r="T328" t="s">
        <v>1288</v>
      </c>
      <c r="U328" t="s">
        <v>781</v>
      </c>
      <c r="V328" t="s">
        <v>411</v>
      </c>
    </row>
    <row r="329" spans="20:22" x14ac:dyDescent="0.3">
      <c r="T329" t="s">
        <v>1289</v>
      </c>
      <c r="U329" t="s">
        <v>782</v>
      </c>
      <c r="V329" t="s">
        <v>783</v>
      </c>
    </row>
    <row r="330" spans="20:22" x14ac:dyDescent="0.3">
      <c r="T330" t="s">
        <v>1290</v>
      </c>
      <c r="U330" t="s">
        <v>784</v>
      </c>
      <c r="V330" t="s">
        <v>411</v>
      </c>
    </row>
    <row r="331" spans="20:22" x14ac:dyDescent="0.3">
      <c r="T331" t="s">
        <v>1291</v>
      </c>
      <c r="U331" t="s">
        <v>785</v>
      </c>
      <c r="V331" t="s">
        <v>764</v>
      </c>
    </row>
    <row r="332" spans="20:22" x14ac:dyDescent="0.3">
      <c r="T332" t="s">
        <v>1292</v>
      </c>
      <c r="U332" t="s">
        <v>786</v>
      </c>
      <c r="V332" t="s">
        <v>603</v>
      </c>
    </row>
    <row r="333" spans="20:22" x14ac:dyDescent="0.3">
      <c r="T333" t="s">
        <v>1293</v>
      </c>
      <c r="U333" t="s">
        <v>787</v>
      </c>
      <c r="V333" t="s">
        <v>788</v>
      </c>
    </row>
    <row r="334" spans="20:22" x14ac:dyDescent="0.3">
      <c r="T334" t="s">
        <v>1294</v>
      </c>
      <c r="U334" t="s">
        <v>789</v>
      </c>
      <c r="V334" t="s">
        <v>750</v>
      </c>
    </row>
    <row r="335" spans="20:22" x14ac:dyDescent="0.3">
      <c r="T335" t="s">
        <v>1295</v>
      </c>
      <c r="U335" t="s">
        <v>790</v>
      </c>
      <c r="V335" t="s">
        <v>544</v>
      </c>
    </row>
    <row r="336" spans="20:22" x14ac:dyDescent="0.3">
      <c r="T336" t="s">
        <v>1296</v>
      </c>
      <c r="U336" t="s">
        <v>791</v>
      </c>
      <c r="V336" t="s">
        <v>411</v>
      </c>
    </row>
    <row r="337" spans="20:22" x14ac:dyDescent="0.3">
      <c r="T337" t="s">
        <v>1297</v>
      </c>
      <c r="U337" t="s">
        <v>792</v>
      </c>
      <c r="V337" t="s">
        <v>411</v>
      </c>
    </row>
    <row r="338" spans="20:22" x14ac:dyDescent="0.3">
      <c r="T338" t="s">
        <v>1298</v>
      </c>
      <c r="U338" t="s">
        <v>793</v>
      </c>
      <c r="V338" t="s">
        <v>794</v>
      </c>
    </row>
    <row r="339" spans="20:22" x14ac:dyDescent="0.3">
      <c r="T339" t="s">
        <v>1299</v>
      </c>
      <c r="U339" t="s">
        <v>795</v>
      </c>
      <c r="V339" t="s">
        <v>528</v>
      </c>
    </row>
    <row r="340" spans="20:22" x14ac:dyDescent="0.3">
      <c r="T340" t="s">
        <v>1300</v>
      </c>
      <c r="U340" t="s">
        <v>796</v>
      </c>
      <c r="V340" t="s">
        <v>716</v>
      </c>
    </row>
    <row r="341" spans="20:22" x14ac:dyDescent="0.3">
      <c r="T341" t="s">
        <v>1301</v>
      </c>
      <c r="U341" t="s">
        <v>797</v>
      </c>
      <c r="V341" t="s">
        <v>535</v>
      </c>
    </row>
    <row r="342" spans="20:22" x14ac:dyDescent="0.3">
      <c r="T342" t="s">
        <v>1302</v>
      </c>
      <c r="U342" t="s">
        <v>798</v>
      </c>
      <c r="V342" t="s">
        <v>411</v>
      </c>
    </row>
    <row r="343" spans="20:22" x14ac:dyDescent="0.3">
      <c r="T343" t="s">
        <v>1303</v>
      </c>
      <c r="U343" t="s">
        <v>799</v>
      </c>
      <c r="V343" t="s">
        <v>469</v>
      </c>
    </row>
    <row r="344" spans="20:22" x14ac:dyDescent="0.3">
      <c r="T344" t="s">
        <v>1304</v>
      </c>
      <c r="U344" t="s">
        <v>800</v>
      </c>
      <c r="V344" t="s">
        <v>551</v>
      </c>
    </row>
    <row r="345" spans="20:22" x14ac:dyDescent="0.3">
      <c r="T345" t="s">
        <v>1305</v>
      </c>
      <c r="U345" t="s">
        <v>801</v>
      </c>
      <c r="V345" t="s">
        <v>528</v>
      </c>
    </row>
    <row r="346" spans="20:22" x14ac:dyDescent="0.3">
      <c r="T346" t="s">
        <v>1306</v>
      </c>
      <c r="U346" t="s">
        <v>802</v>
      </c>
      <c r="V346" t="s">
        <v>783</v>
      </c>
    </row>
    <row r="347" spans="20:22" x14ac:dyDescent="0.3">
      <c r="T347" t="s">
        <v>1307</v>
      </c>
      <c r="U347" t="s">
        <v>803</v>
      </c>
      <c r="V347" t="s">
        <v>661</v>
      </c>
    </row>
    <row r="348" spans="20:22" x14ac:dyDescent="0.3">
      <c r="T348" t="s">
        <v>1308</v>
      </c>
      <c r="U348" t="s">
        <v>804</v>
      </c>
      <c r="V348" t="s">
        <v>411</v>
      </c>
    </row>
    <row r="349" spans="20:22" x14ac:dyDescent="0.3">
      <c r="T349" t="s">
        <v>1309</v>
      </c>
      <c r="U349" t="s">
        <v>805</v>
      </c>
      <c r="V349" t="s">
        <v>245</v>
      </c>
    </row>
    <row r="350" spans="20:22" x14ac:dyDescent="0.3">
      <c r="T350" t="s">
        <v>1310</v>
      </c>
      <c r="U350" t="s">
        <v>806</v>
      </c>
      <c r="V350" t="s">
        <v>411</v>
      </c>
    </row>
    <row r="351" spans="20:22" x14ac:dyDescent="0.3">
      <c r="T351" t="s">
        <v>1311</v>
      </c>
      <c r="U351" t="s">
        <v>807</v>
      </c>
      <c r="V351" t="s">
        <v>539</v>
      </c>
    </row>
    <row r="352" spans="20:22" x14ac:dyDescent="0.3">
      <c r="T352" t="s">
        <v>1485</v>
      </c>
      <c r="U352" t="s">
        <v>808</v>
      </c>
      <c r="V352" t="s">
        <v>809</v>
      </c>
    </row>
    <row r="353" spans="20:22" x14ac:dyDescent="0.3">
      <c r="T353" s="58" t="s">
        <v>1483</v>
      </c>
      <c r="U353" t="s">
        <v>810</v>
      </c>
      <c r="V353" t="s">
        <v>411</v>
      </c>
    </row>
    <row r="354" spans="20:22" x14ac:dyDescent="0.3">
      <c r="T354" t="s">
        <v>1312</v>
      </c>
      <c r="U354" t="s">
        <v>811</v>
      </c>
      <c r="V354" t="s">
        <v>411</v>
      </c>
    </row>
    <row r="355" spans="20:22" x14ac:dyDescent="0.3">
      <c r="T355" t="s">
        <v>1313</v>
      </c>
      <c r="U355" t="s">
        <v>812</v>
      </c>
      <c r="V355" t="s">
        <v>661</v>
      </c>
    </row>
    <row r="356" spans="20:22" x14ac:dyDescent="0.3">
      <c r="T356" t="s">
        <v>1314</v>
      </c>
      <c r="U356" t="s">
        <v>813</v>
      </c>
      <c r="V356" t="s">
        <v>411</v>
      </c>
    </row>
    <row r="357" spans="20:22" x14ac:dyDescent="0.3">
      <c r="T357" t="s">
        <v>1315</v>
      </c>
      <c r="U357" t="s">
        <v>814</v>
      </c>
      <c r="V357" t="s">
        <v>551</v>
      </c>
    </row>
    <row r="358" spans="20:22" x14ac:dyDescent="0.3">
      <c r="T358" t="s">
        <v>1316</v>
      </c>
      <c r="U358" t="s">
        <v>815</v>
      </c>
      <c r="V358" t="s">
        <v>548</v>
      </c>
    </row>
    <row r="359" spans="20:22" x14ac:dyDescent="0.3">
      <c r="T359" t="s">
        <v>1317</v>
      </c>
      <c r="U359" t="s">
        <v>816</v>
      </c>
      <c r="V359" t="s">
        <v>561</v>
      </c>
    </row>
    <row r="360" spans="20:22" x14ac:dyDescent="0.3">
      <c r="T360" t="s">
        <v>1318</v>
      </c>
      <c r="U360" t="s">
        <v>817</v>
      </c>
      <c r="V360" t="s">
        <v>439</v>
      </c>
    </row>
    <row r="361" spans="20:22" x14ac:dyDescent="0.3">
      <c r="T361" t="s">
        <v>1319</v>
      </c>
      <c r="U361" t="s">
        <v>818</v>
      </c>
      <c r="V361" t="s">
        <v>411</v>
      </c>
    </row>
    <row r="362" spans="20:22" x14ac:dyDescent="0.3">
      <c r="T362" t="s">
        <v>1320</v>
      </c>
      <c r="U362" t="s">
        <v>819</v>
      </c>
      <c r="V362" t="s">
        <v>411</v>
      </c>
    </row>
    <row r="363" spans="20:22" x14ac:dyDescent="0.3">
      <c r="T363" t="s">
        <v>1321</v>
      </c>
      <c r="U363" t="s">
        <v>820</v>
      </c>
      <c r="V363" t="s">
        <v>561</v>
      </c>
    </row>
    <row r="364" spans="20:22" x14ac:dyDescent="0.3">
      <c r="T364" t="s">
        <v>1322</v>
      </c>
      <c r="U364" t="s">
        <v>821</v>
      </c>
      <c r="V364" t="s">
        <v>809</v>
      </c>
    </row>
    <row r="365" spans="20:22" x14ac:dyDescent="0.3">
      <c r="T365" t="s">
        <v>1323</v>
      </c>
      <c r="U365" t="s">
        <v>822</v>
      </c>
      <c r="V365" t="s">
        <v>411</v>
      </c>
    </row>
    <row r="366" spans="20:22" x14ac:dyDescent="0.3">
      <c r="T366" t="s">
        <v>1324</v>
      </c>
      <c r="U366" t="s">
        <v>823</v>
      </c>
      <c r="V366" t="s">
        <v>473</v>
      </c>
    </row>
    <row r="367" spans="20:22" x14ac:dyDescent="0.3">
      <c r="T367" t="s">
        <v>1325</v>
      </c>
      <c r="U367" t="s">
        <v>824</v>
      </c>
      <c r="V367" t="s">
        <v>411</v>
      </c>
    </row>
    <row r="368" spans="20:22" x14ac:dyDescent="0.3">
      <c r="T368" t="s">
        <v>1326</v>
      </c>
      <c r="U368" t="s">
        <v>825</v>
      </c>
      <c r="V368" t="s">
        <v>243</v>
      </c>
    </row>
    <row r="369" spans="20:22" x14ac:dyDescent="0.3">
      <c r="T369" t="s">
        <v>1327</v>
      </c>
      <c r="U369" t="s">
        <v>826</v>
      </c>
      <c r="V369" t="s">
        <v>411</v>
      </c>
    </row>
    <row r="370" spans="20:22" x14ac:dyDescent="0.3">
      <c r="T370" t="s">
        <v>1328</v>
      </c>
      <c r="U370" t="s">
        <v>827</v>
      </c>
      <c r="V370" t="s">
        <v>513</v>
      </c>
    </row>
    <row r="371" spans="20:22" x14ac:dyDescent="0.3">
      <c r="T371" t="s">
        <v>1329</v>
      </c>
      <c r="U371" t="s">
        <v>828</v>
      </c>
      <c r="V371">
        <v>146</v>
      </c>
    </row>
    <row r="372" spans="20:22" x14ac:dyDescent="0.3">
      <c r="T372" t="s">
        <v>1330</v>
      </c>
      <c r="U372" t="s">
        <v>829</v>
      </c>
      <c r="V372" t="s">
        <v>473</v>
      </c>
    </row>
    <row r="373" spans="20:22" x14ac:dyDescent="0.3">
      <c r="T373" t="s">
        <v>1331</v>
      </c>
      <c r="U373" t="s">
        <v>830</v>
      </c>
      <c r="V373" t="s">
        <v>460</v>
      </c>
    </row>
    <row r="374" spans="20:22" x14ac:dyDescent="0.3">
      <c r="T374" t="s">
        <v>1332</v>
      </c>
      <c r="U374" t="s">
        <v>831</v>
      </c>
      <c r="V374" t="s">
        <v>788</v>
      </c>
    </row>
    <row r="375" spans="20:22" x14ac:dyDescent="0.3">
      <c r="T375" t="s">
        <v>1333</v>
      </c>
      <c r="U375" t="s">
        <v>832</v>
      </c>
      <c r="V375" t="s">
        <v>783</v>
      </c>
    </row>
    <row r="376" spans="20:22" x14ac:dyDescent="0.3">
      <c r="T376" t="s">
        <v>1334</v>
      </c>
      <c r="U376" t="s">
        <v>833</v>
      </c>
      <c r="V376" t="s">
        <v>794</v>
      </c>
    </row>
    <row r="377" spans="20:22" x14ac:dyDescent="0.3">
      <c r="T377" t="s">
        <v>1335</v>
      </c>
      <c r="U377" t="s">
        <v>834</v>
      </c>
      <c r="V377" t="s">
        <v>419</v>
      </c>
    </row>
    <row r="378" spans="20:22" x14ac:dyDescent="0.3">
      <c r="T378" t="s">
        <v>1336</v>
      </c>
      <c r="U378" t="s">
        <v>835</v>
      </c>
      <c r="V378" t="s">
        <v>521</v>
      </c>
    </row>
    <row r="379" spans="20:22" x14ac:dyDescent="0.3">
      <c r="T379" t="s">
        <v>1337</v>
      </c>
      <c r="U379" t="s">
        <v>836</v>
      </c>
      <c r="V379" t="s">
        <v>411</v>
      </c>
    </row>
    <row r="380" spans="20:22" x14ac:dyDescent="0.3">
      <c r="T380" t="s">
        <v>1338</v>
      </c>
      <c r="U380" t="s">
        <v>837</v>
      </c>
      <c r="V380" t="s">
        <v>581</v>
      </c>
    </row>
    <row r="381" spans="20:22" x14ac:dyDescent="0.3">
      <c r="T381" t="s">
        <v>1339</v>
      </c>
      <c r="U381" t="s">
        <v>838</v>
      </c>
      <c r="V381" t="s">
        <v>411</v>
      </c>
    </row>
    <row r="382" spans="20:22" x14ac:dyDescent="0.3">
      <c r="T382" t="s">
        <v>1340</v>
      </c>
      <c r="U382" t="s">
        <v>839</v>
      </c>
      <c r="V382" t="s">
        <v>788</v>
      </c>
    </row>
    <row r="383" spans="20:22" x14ac:dyDescent="0.3">
      <c r="T383" t="s">
        <v>1341</v>
      </c>
      <c r="U383" t="s">
        <v>840</v>
      </c>
      <c r="V383" t="s">
        <v>419</v>
      </c>
    </row>
    <row r="384" spans="20:22" x14ac:dyDescent="0.3">
      <c r="T384" t="s">
        <v>1342</v>
      </c>
      <c r="U384" t="s">
        <v>841</v>
      </c>
      <c r="V384" t="s">
        <v>411</v>
      </c>
    </row>
    <row r="385" spans="20:22" x14ac:dyDescent="0.3">
      <c r="T385" t="s">
        <v>1343</v>
      </c>
      <c r="U385" t="s">
        <v>842</v>
      </c>
      <c r="V385" t="s">
        <v>716</v>
      </c>
    </row>
    <row r="386" spans="20:22" x14ac:dyDescent="0.3">
      <c r="T386" t="s">
        <v>1344</v>
      </c>
      <c r="U386" t="s">
        <v>843</v>
      </c>
      <c r="V386" t="s">
        <v>722</v>
      </c>
    </row>
    <row r="387" spans="20:22" x14ac:dyDescent="0.3">
      <c r="T387" t="s">
        <v>1345</v>
      </c>
      <c r="U387" t="s">
        <v>844</v>
      </c>
      <c r="V387" t="s">
        <v>452</v>
      </c>
    </row>
    <row r="388" spans="20:22" x14ac:dyDescent="0.3">
      <c r="T388" t="s">
        <v>1346</v>
      </c>
      <c r="U388" t="s">
        <v>845</v>
      </c>
      <c r="V388" t="s">
        <v>528</v>
      </c>
    </row>
    <row r="389" spans="20:22" x14ac:dyDescent="0.3">
      <c r="T389" t="s">
        <v>1347</v>
      </c>
      <c r="U389" t="s">
        <v>846</v>
      </c>
      <c r="V389" t="s">
        <v>556</v>
      </c>
    </row>
    <row r="390" spans="20:22" x14ac:dyDescent="0.3">
      <c r="T390" t="s">
        <v>1348</v>
      </c>
      <c r="U390" t="s">
        <v>847</v>
      </c>
      <c r="V390" t="s">
        <v>465</v>
      </c>
    </row>
    <row r="391" spans="20:22" x14ac:dyDescent="0.3">
      <c r="T391" t="s">
        <v>1349</v>
      </c>
      <c r="U391" t="s">
        <v>848</v>
      </c>
      <c r="V391" t="s">
        <v>544</v>
      </c>
    </row>
    <row r="392" spans="20:22" x14ac:dyDescent="0.3">
      <c r="T392" t="s">
        <v>1350</v>
      </c>
      <c r="U392" t="s">
        <v>849</v>
      </c>
      <c r="V392" t="s">
        <v>809</v>
      </c>
    </row>
    <row r="393" spans="20:22" x14ac:dyDescent="0.3">
      <c r="T393" t="s">
        <v>1351</v>
      </c>
      <c r="U393" t="s">
        <v>850</v>
      </c>
      <c r="V393" t="s">
        <v>422</v>
      </c>
    </row>
    <row r="394" spans="20:22" x14ac:dyDescent="0.3">
      <c r="T394" t="s">
        <v>1352</v>
      </c>
      <c r="U394" t="s">
        <v>851</v>
      </c>
      <c r="V394" t="s">
        <v>551</v>
      </c>
    </row>
    <row r="395" spans="20:22" x14ac:dyDescent="0.3">
      <c r="T395" t="s">
        <v>1353</v>
      </c>
      <c r="U395" t="s">
        <v>852</v>
      </c>
      <c r="V395" t="s">
        <v>411</v>
      </c>
    </row>
    <row r="396" spans="20:22" x14ac:dyDescent="0.3">
      <c r="T396" t="s">
        <v>1354</v>
      </c>
      <c r="U396" t="s">
        <v>853</v>
      </c>
      <c r="V396" t="s">
        <v>428</v>
      </c>
    </row>
    <row r="397" spans="20:22" x14ac:dyDescent="0.3">
      <c r="T397" t="s">
        <v>1355</v>
      </c>
      <c r="U397" t="s">
        <v>854</v>
      </c>
      <c r="V397" t="s">
        <v>595</v>
      </c>
    </row>
    <row r="398" spans="20:22" x14ac:dyDescent="0.3">
      <c r="T398" t="s">
        <v>1356</v>
      </c>
      <c r="U398" t="s">
        <v>855</v>
      </c>
      <c r="V398" t="s">
        <v>595</v>
      </c>
    </row>
    <row r="399" spans="20:22" x14ac:dyDescent="0.3">
      <c r="T399" t="s">
        <v>1357</v>
      </c>
      <c r="U399" t="s">
        <v>856</v>
      </c>
      <c r="V399" t="s">
        <v>573</v>
      </c>
    </row>
    <row r="400" spans="20:22" x14ac:dyDescent="0.3">
      <c r="T400" t="s">
        <v>1358</v>
      </c>
      <c r="U400" t="s">
        <v>857</v>
      </c>
      <c r="V400" t="s">
        <v>542</v>
      </c>
    </row>
    <row r="401" spans="20:22" x14ac:dyDescent="0.3">
      <c r="T401" t="s">
        <v>1359</v>
      </c>
      <c r="U401" t="s">
        <v>858</v>
      </c>
      <c r="V401" t="s">
        <v>411</v>
      </c>
    </row>
    <row r="402" spans="20:22" x14ac:dyDescent="0.3">
      <c r="T402" t="s">
        <v>1360</v>
      </c>
      <c r="U402" t="s">
        <v>859</v>
      </c>
      <c r="V402" t="s">
        <v>432</v>
      </c>
    </row>
    <row r="403" spans="20:22" x14ac:dyDescent="0.3">
      <c r="T403" t="s">
        <v>1361</v>
      </c>
      <c r="U403" t="s">
        <v>860</v>
      </c>
      <c r="V403" t="s">
        <v>592</v>
      </c>
    </row>
    <row r="404" spans="20:22" x14ac:dyDescent="0.3">
      <c r="T404" t="s">
        <v>1362</v>
      </c>
      <c r="U404" t="s">
        <v>861</v>
      </c>
      <c r="V404" t="s">
        <v>419</v>
      </c>
    </row>
    <row r="405" spans="20:22" x14ac:dyDescent="0.3">
      <c r="T405" t="s">
        <v>1363</v>
      </c>
      <c r="U405" t="s">
        <v>862</v>
      </c>
      <c r="V405" t="s">
        <v>513</v>
      </c>
    </row>
    <row r="406" spans="20:22" x14ac:dyDescent="0.3">
      <c r="T406" t="s">
        <v>1364</v>
      </c>
      <c r="U406" t="s">
        <v>863</v>
      </c>
      <c r="V406" t="s">
        <v>419</v>
      </c>
    </row>
    <row r="407" spans="20:22" x14ac:dyDescent="0.3">
      <c r="T407" t="s">
        <v>1365</v>
      </c>
      <c r="U407" t="s">
        <v>864</v>
      </c>
      <c r="V407" t="s">
        <v>411</v>
      </c>
    </row>
    <row r="408" spans="20:22" x14ac:dyDescent="0.3">
      <c r="T408" t="s">
        <v>1366</v>
      </c>
      <c r="U408" t="s">
        <v>865</v>
      </c>
      <c r="V408" t="s">
        <v>411</v>
      </c>
    </row>
    <row r="409" spans="20:22" x14ac:dyDescent="0.3">
      <c r="T409" t="s">
        <v>1367</v>
      </c>
      <c r="U409" t="s">
        <v>866</v>
      </c>
      <c r="V409" t="s">
        <v>419</v>
      </c>
    </row>
    <row r="410" spans="20:22" x14ac:dyDescent="0.3">
      <c r="T410" t="s">
        <v>1368</v>
      </c>
      <c r="U410" t="s">
        <v>867</v>
      </c>
      <c r="V410" t="s">
        <v>528</v>
      </c>
    </row>
    <row r="411" spans="20:22" x14ac:dyDescent="0.3">
      <c r="T411" t="s">
        <v>1369</v>
      </c>
      <c r="U411" t="s">
        <v>868</v>
      </c>
      <c r="V411" t="s">
        <v>411</v>
      </c>
    </row>
    <row r="412" spans="20:22" x14ac:dyDescent="0.3">
      <c r="T412" t="s">
        <v>1370</v>
      </c>
      <c r="U412" t="s">
        <v>869</v>
      </c>
      <c r="V412" t="s">
        <v>692</v>
      </c>
    </row>
    <row r="413" spans="20:22" x14ac:dyDescent="0.3">
      <c r="T413" t="s">
        <v>1371</v>
      </c>
      <c r="U413" t="s">
        <v>870</v>
      </c>
      <c r="V413" t="s">
        <v>567</v>
      </c>
    </row>
    <row r="414" spans="20:22" x14ac:dyDescent="0.3">
      <c r="T414" t="s">
        <v>1372</v>
      </c>
      <c r="U414" t="s">
        <v>871</v>
      </c>
      <c r="V414" t="s">
        <v>528</v>
      </c>
    </row>
    <row r="415" spans="20:22" x14ac:dyDescent="0.3">
      <c r="T415" t="s">
        <v>1373</v>
      </c>
      <c r="U415" t="s">
        <v>872</v>
      </c>
      <c r="V415" t="s">
        <v>788</v>
      </c>
    </row>
    <row r="416" spans="20:22" x14ac:dyDescent="0.3">
      <c r="T416" t="s">
        <v>1374</v>
      </c>
      <c r="U416" t="s">
        <v>873</v>
      </c>
      <c r="V416" t="s">
        <v>575</v>
      </c>
    </row>
    <row r="417" spans="20:22" x14ac:dyDescent="0.3">
      <c r="T417" t="s">
        <v>1375</v>
      </c>
      <c r="U417" t="s">
        <v>874</v>
      </c>
      <c r="V417" t="s">
        <v>413</v>
      </c>
    </row>
    <row r="418" spans="20:22" x14ac:dyDescent="0.3">
      <c r="T418" t="s">
        <v>1376</v>
      </c>
      <c r="U418" t="s">
        <v>875</v>
      </c>
      <c r="V418" t="s">
        <v>561</v>
      </c>
    </row>
    <row r="419" spans="20:22" x14ac:dyDescent="0.3">
      <c r="T419" t="s">
        <v>1377</v>
      </c>
      <c r="U419" t="s">
        <v>876</v>
      </c>
      <c r="V419" t="s">
        <v>809</v>
      </c>
    </row>
    <row r="420" spans="20:22" x14ac:dyDescent="0.3">
      <c r="T420" t="s">
        <v>1378</v>
      </c>
      <c r="U420" t="s">
        <v>877</v>
      </c>
      <c r="V420" t="s">
        <v>419</v>
      </c>
    </row>
    <row r="421" spans="20:22" x14ac:dyDescent="0.3">
      <c r="T421" t="s">
        <v>1379</v>
      </c>
      <c r="U421" t="s">
        <v>878</v>
      </c>
      <c r="V421" t="s">
        <v>788</v>
      </c>
    </row>
    <row r="422" spans="20:22" x14ac:dyDescent="0.3">
      <c r="T422" t="s">
        <v>1380</v>
      </c>
      <c r="U422" t="s">
        <v>879</v>
      </c>
      <c r="V422" t="s">
        <v>722</v>
      </c>
    </row>
    <row r="423" spans="20:22" x14ac:dyDescent="0.3">
      <c r="T423" t="s">
        <v>1381</v>
      </c>
      <c r="U423" t="s">
        <v>880</v>
      </c>
      <c r="V423" t="s">
        <v>556</v>
      </c>
    </row>
    <row r="424" spans="20:22" x14ac:dyDescent="0.3">
      <c r="T424" t="s">
        <v>1382</v>
      </c>
      <c r="U424" t="s">
        <v>881</v>
      </c>
      <c r="V424" t="s">
        <v>411</v>
      </c>
    </row>
    <row r="425" spans="20:22" x14ac:dyDescent="0.3">
      <c r="T425" t="s">
        <v>1383</v>
      </c>
      <c r="U425" t="s">
        <v>882</v>
      </c>
      <c r="V425" t="s">
        <v>722</v>
      </c>
    </row>
    <row r="426" spans="20:22" x14ac:dyDescent="0.3">
      <c r="T426" t="s">
        <v>1384</v>
      </c>
      <c r="U426" t="s">
        <v>883</v>
      </c>
      <c r="V426" t="s">
        <v>535</v>
      </c>
    </row>
    <row r="427" spans="20:22" x14ac:dyDescent="0.3">
      <c r="T427" t="s">
        <v>1385</v>
      </c>
      <c r="U427" t="s">
        <v>884</v>
      </c>
      <c r="V427" t="s">
        <v>615</v>
      </c>
    </row>
    <row r="428" spans="20:22" x14ac:dyDescent="0.3">
      <c r="T428" t="s">
        <v>1386</v>
      </c>
      <c r="U428" t="s">
        <v>885</v>
      </c>
      <c r="V428" t="s">
        <v>411</v>
      </c>
    </row>
    <row r="429" spans="20:22" x14ac:dyDescent="0.3">
      <c r="T429" t="s">
        <v>1387</v>
      </c>
      <c r="U429" t="s">
        <v>886</v>
      </c>
      <c r="V429">
        <v>907</v>
      </c>
    </row>
    <row r="430" spans="20:22" x14ac:dyDescent="0.3">
      <c r="T430" t="s">
        <v>1388</v>
      </c>
      <c r="U430" t="s">
        <v>887</v>
      </c>
      <c r="V430" t="s">
        <v>419</v>
      </c>
    </row>
    <row r="431" spans="20:22" x14ac:dyDescent="0.3">
      <c r="T431" t="s">
        <v>1389</v>
      </c>
      <c r="U431" t="s">
        <v>888</v>
      </c>
      <c r="V431" t="s">
        <v>496</v>
      </c>
    </row>
    <row r="432" spans="20:22" x14ac:dyDescent="0.3">
      <c r="T432" t="s">
        <v>1390</v>
      </c>
      <c r="U432" t="s">
        <v>889</v>
      </c>
      <c r="V432" t="s">
        <v>542</v>
      </c>
    </row>
    <row r="433" spans="20:22" x14ac:dyDescent="0.3">
      <c r="T433" t="s">
        <v>1391</v>
      </c>
      <c r="U433" t="s">
        <v>890</v>
      </c>
      <c r="V433" t="s">
        <v>551</v>
      </c>
    </row>
    <row r="434" spans="20:22" x14ac:dyDescent="0.3">
      <c r="T434" t="s">
        <v>1392</v>
      </c>
      <c r="U434" t="s">
        <v>891</v>
      </c>
      <c r="V434" t="s">
        <v>544</v>
      </c>
    </row>
    <row r="435" spans="20:22" x14ac:dyDescent="0.3">
      <c r="T435" t="s">
        <v>1393</v>
      </c>
      <c r="U435" t="s">
        <v>892</v>
      </c>
      <c r="V435" t="s">
        <v>544</v>
      </c>
    </row>
    <row r="436" spans="20:22" x14ac:dyDescent="0.3">
      <c r="T436" t="s">
        <v>1394</v>
      </c>
      <c r="U436" t="s">
        <v>893</v>
      </c>
      <c r="V436" t="s">
        <v>507</v>
      </c>
    </row>
    <row r="437" spans="20:22" x14ac:dyDescent="0.3">
      <c r="T437" t="s">
        <v>1395</v>
      </c>
      <c r="U437" t="s">
        <v>894</v>
      </c>
      <c r="V437" t="s">
        <v>716</v>
      </c>
    </row>
    <row r="438" spans="20:22" x14ac:dyDescent="0.3">
      <c r="T438" t="s">
        <v>1396</v>
      </c>
      <c r="U438" t="s">
        <v>895</v>
      </c>
      <c r="V438" t="s">
        <v>567</v>
      </c>
    </row>
    <row r="439" spans="20:22" x14ac:dyDescent="0.3">
      <c r="T439" t="s">
        <v>1397</v>
      </c>
      <c r="U439" t="s">
        <v>896</v>
      </c>
      <c r="V439" t="s">
        <v>413</v>
      </c>
    </row>
    <row r="440" spans="20:22" x14ac:dyDescent="0.3">
      <c r="T440" t="s">
        <v>1398</v>
      </c>
      <c r="U440" t="s">
        <v>897</v>
      </c>
      <c r="V440" t="s">
        <v>482</v>
      </c>
    </row>
    <row r="441" spans="20:22" x14ac:dyDescent="0.3">
      <c r="T441" t="s">
        <v>1399</v>
      </c>
      <c r="U441" t="s">
        <v>898</v>
      </c>
      <c r="V441" t="s">
        <v>507</v>
      </c>
    </row>
    <row r="442" spans="20:22" x14ac:dyDescent="0.3">
      <c r="T442" t="s">
        <v>1400</v>
      </c>
      <c r="U442" t="s">
        <v>899</v>
      </c>
      <c r="V442" t="s">
        <v>794</v>
      </c>
    </row>
    <row r="443" spans="20:22" x14ac:dyDescent="0.3">
      <c r="T443" t="s">
        <v>1401</v>
      </c>
      <c r="U443" t="s">
        <v>900</v>
      </c>
      <c r="V443" t="s">
        <v>615</v>
      </c>
    </row>
    <row r="444" spans="20:22" x14ac:dyDescent="0.3">
      <c r="T444" t="s">
        <v>1402</v>
      </c>
      <c r="U444" t="s">
        <v>901</v>
      </c>
      <c r="V444" t="s">
        <v>692</v>
      </c>
    </row>
    <row r="445" spans="20:22" x14ac:dyDescent="0.3">
      <c r="T445" t="s">
        <v>1403</v>
      </c>
      <c r="U445" t="s">
        <v>902</v>
      </c>
      <c r="V445" t="s">
        <v>599</v>
      </c>
    </row>
    <row r="446" spans="20:22" x14ac:dyDescent="0.3">
      <c r="T446" t="s">
        <v>1404</v>
      </c>
      <c r="U446" t="s">
        <v>903</v>
      </c>
      <c r="V446" t="s">
        <v>439</v>
      </c>
    </row>
    <row r="447" spans="20:22" x14ac:dyDescent="0.3">
      <c r="T447" t="s">
        <v>1405</v>
      </c>
      <c r="U447" t="s">
        <v>904</v>
      </c>
      <c r="V447" t="s">
        <v>496</v>
      </c>
    </row>
    <row r="448" spans="20:22" x14ac:dyDescent="0.3">
      <c r="T448" t="s">
        <v>1406</v>
      </c>
      <c r="U448" t="s">
        <v>905</v>
      </c>
      <c r="V448" t="s">
        <v>750</v>
      </c>
    </row>
    <row r="449" spans="20:22" x14ac:dyDescent="0.3">
      <c r="T449" t="s">
        <v>1407</v>
      </c>
      <c r="U449" t="s">
        <v>906</v>
      </c>
      <c r="V449" t="s">
        <v>539</v>
      </c>
    </row>
    <row r="450" spans="20:22" x14ac:dyDescent="0.3">
      <c r="T450" t="s">
        <v>1408</v>
      </c>
      <c r="U450" t="s">
        <v>907</v>
      </c>
      <c r="V450" t="s">
        <v>496</v>
      </c>
    </row>
    <row r="451" spans="20:22" x14ac:dyDescent="0.3">
      <c r="T451" t="s">
        <v>1409</v>
      </c>
      <c r="U451" t="s">
        <v>908</v>
      </c>
      <c r="V451" t="s">
        <v>507</v>
      </c>
    </row>
    <row r="452" spans="20:22" x14ac:dyDescent="0.3">
      <c r="T452" t="s">
        <v>1410</v>
      </c>
      <c r="U452" t="s">
        <v>909</v>
      </c>
      <c r="V452" t="s">
        <v>542</v>
      </c>
    </row>
    <row r="453" spans="20:22" x14ac:dyDescent="0.3">
      <c r="T453" t="s">
        <v>1411</v>
      </c>
      <c r="U453" t="s">
        <v>910</v>
      </c>
      <c r="V453" t="s">
        <v>528</v>
      </c>
    </row>
    <row r="454" spans="20:22" x14ac:dyDescent="0.3">
      <c r="T454" t="s">
        <v>1412</v>
      </c>
      <c r="U454" t="s">
        <v>911</v>
      </c>
      <c r="V454" t="s">
        <v>615</v>
      </c>
    </row>
    <row r="455" spans="20:22" x14ac:dyDescent="0.3">
      <c r="T455" t="s">
        <v>1413</v>
      </c>
      <c r="U455" t="s">
        <v>912</v>
      </c>
      <c r="V455" t="s">
        <v>496</v>
      </c>
    </row>
    <row r="456" spans="20:22" x14ac:dyDescent="0.3">
      <c r="T456" t="s">
        <v>1414</v>
      </c>
      <c r="U456" t="s">
        <v>913</v>
      </c>
      <c r="V456" t="s">
        <v>615</v>
      </c>
    </row>
    <row r="457" spans="20:22" x14ac:dyDescent="0.3">
      <c r="T457" t="s">
        <v>1415</v>
      </c>
      <c r="U457" t="s">
        <v>914</v>
      </c>
      <c r="V457" t="s">
        <v>528</v>
      </c>
    </row>
    <row r="458" spans="20:22" x14ac:dyDescent="0.3">
      <c r="T458" t="s">
        <v>1416</v>
      </c>
      <c r="U458" t="s">
        <v>915</v>
      </c>
      <c r="V458" t="s">
        <v>243</v>
      </c>
    </row>
    <row r="459" spans="20:22" x14ac:dyDescent="0.3">
      <c r="T459" t="s">
        <v>1417</v>
      </c>
      <c r="U459" t="s">
        <v>916</v>
      </c>
      <c r="V459" t="s">
        <v>592</v>
      </c>
    </row>
    <row r="460" spans="20:22" x14ac:dyDescent="0.3">
      <c r="T460" t="s">
        <v>1418</v>
      </c>
      <c r="U460" t="s">
        <v>917</v>
      </c>
      <c r="V460" t="s">
        <v>507</v>
      </c>
    </row>
    <row r="461" spans="20:22" x14ac:dyDescent="0.3">
      <c r="T461" t="s">
        <v>1419</v>
      </c>
      <c r="U461" t="s">
        <v>918</v>
      </c>
      <c r="V461" t="s">
        <v>809</v>
      </c>
    </row>
    <row r="462" spans="20:22" x14ac:dyDescent="0.3">
      <c r="T462" t="s">
        <v>1420</v>
      </c>
      <c r="U462" t="s">
        <v>919</v>
      </c>
      <c r="V462" t="s">
        <v>432</v>
      </c>
    </row>
    <row r="463" spans="20:22" x14ac:dyDescent="0.3">
      <c r="T463" t="s">
        <v>1421</v>
      </c>
      <c r="U463" t="s">
        <v>920</v>
      </c>
      <c r="V463" t="s">
        <v>411</v>
      </c>
    </row>
    <row r="464" spans="20:22" x14ac:dyDescent="0.3">
      <c r="T464" t="s">
        <v>1422</v>
      </c>
      <c r="U464" t="s">
        <v>921</v>
      </c>
      <c r="V464" t="s">
        <v>452</v>
      </c>
    </row>
    <row r="465" spans="20:22" x14ac:dyDescent="0.3">
      <c r="T465" t="s">
        <v>1423</v>
      </c>
      <c r="U465" t="s">
        <v>922</v>
      </c>
      <c r="V465" t="s">
        <v>413</v>
      </c>
    </row>
    <row r="466" spans="20:22" x14ac:dyDescent="0.3">
      <c r="T466" t="s">
        <v>1424</v>
      </c>
      <c r="U466" t="s">
        <v>923</v>
      </c>
      <c r="V466" t="s">
        <v>722</v>
      </c>
    </row>
    <row r="467" spans="20:22" x14ac:dyDescent="0.3">
      <c r="T467" t="s">
        <v>1425</v>
      </c>
      <c r="U467" t="s">
        <v>924</v>
      </c>
      <c r="V467" t="s">
        <v>411</v>
      </c>
    </row>
    <row r="468" spans="20:22" x14ac:dyDescent="0.3">
      <c r="T468" t="s">
        <v>1426</v>
      </c>
      <c r="U468" t="s">
        <v>925</v>
      </c>
      <c r="V468" t="s">
        <v>716</v>
      </c>
    </row>
    <row r="469" spans="20:22" x14ac:dyDescent="0.3">
      <c r="T469" t="s">
        <v>1427</v>
      </c>
      <c r="U469" t="s">
        <v>926</v>
      </c>
      <c r="V469" t="s">
        <v>411</v>
      </c>
    </row>
    <row r="470" spans="20:22" x14ac:dyDescent="0.3">
      <c r="T470" t="s">
        <v>1428</v>
      </c>
      <c r="U470" t="s">
        <v>927</v>
      </c>
      <c r="V470" t="s">
        <v>544</v>
      </c>
    </row>
    <row r="471" spans="20:22" x14ac:dyDescent="0.3">
      <c r="T471" t="s">
        <v>1429</v>
      </c>
      <c r="U471" t="s">
        <v>928</v>
      </c>
      <c r="V471" t="s">
        <v>416</v>
      </c>
    </row>
    <row r="472" spans="20:22" x14ac:dyDescent="0.3">
      <c r="T472" t="s">
        <v>1430</v>
      </c>
      <c r="U472" t="s">
        <v>929</v>
      </c>
      <c r="V472">
        <v>146</v>
      </c>
    </row>
    <row r="473" spans="20:22" x14ac:dyDescent="0.3">
      <c r="T473" t="s">
        <v>964</v>
      </c>
      <c r="U473" t="s">
        <v>408</v>
      </c>
      <c r="V473" t="s">
        <v>411</v>
      </c>
    </row>
    <row r="474" spans="20:22" x14ac:dyDescent="0.3">
      <c r="T474" t="s">
        <v>976</v>
      </c>
      <c r="U474" t="s">
        <v>426</v>
      </c>
      <c r="V474" t="s">
        <v>411</v>
      </c>
    </row>
    <row r="475" spans="20:22" x14ac:dyDescent="0.3">
      <c r="T475" t="s">
        <v>1431</v>
      </c>
      <c r="U475" t="s">
        <v>930</v>
      </c>
      <c r="V475" t="s">
        <v>411</v>
      </c>
    </row>
    <row r="476" spans="20:22" x14ac:dyDescent="0.3">
      <c r="T476" t="s">
        <v>1432</v>
      </c>
      <c r="U476" t="s">
        <v>931</v>
      </c>
      <c r="V476" t="s">
        <v>722</v>
      </c>
    </row>
    <row r="477" spans="20:22" x14ac:dyDescent="0.3">
      <c r="T477" t="s">
        <v>1433</v>
      </c>
      <c r="U477" t="s">
        <v>932</v>
      </c>
      <c r="V477" t="s">
        <v>245</v>
      </c>
    </row>
    <row r="478" spans="20:22" x14ac:dyDescent="0.3">
      <c r="T478" t="s">
        <v>1434</v>
      </c>
      <c r="U478" t="s">
        <v>933</v>
      </c>
      <c r="V478" t="s">
        <v>528</v>
      </c>
    </row>
    <row r="479" spans="20:22" x14ac:dyDescent="0.3">
      <c r="T479" t="s">
        <v>1435</v>
      </c>
      <c r="U479" t="s">
        <v>934</v>
      </c>
      <c r="V479" t="s">
        <v>422</v>
      </c>
    </row>
    <row r="480" spans="20:22" x14ac:dyDescent="0.3">
      <c r="T480" t="s">
        <v>1436</v>
      </c>
      <c r="U480" t="s">
        <v>935</v>
      </c>
      <c r="V480" t="s">
        <v>411</v>
      </c>
    </row>
    <row r="481" spans="20:22" x14ac:dyDescent="0.3">
      <c r="T481" t="s">
        <v>1437</v>
      </c>
      <c r="U481" t="s">
        <v>930</v>
      </c>
      <c r="V481" t="s">
        <v>407</v>
      </c>
    </row>
    <row r="482" spans="20:22" x14ac:dyDescent="0.3">
      <c r="T482" t="s">
        <v>1438</v>
      </c>
      <c r="U482" t="s">
        <v>936</v>
      </c>
      <c r="V482" t="s">
        <v>567</v>
      </c>
    </row>
    <row r="483" spans="20:22" x14ac:dyDescent="0.3">
      <c r="T483" t="s">
        <v>1439</v>
      </c>
      <c r="U483" t="s">
        <v>937</v>
      </c>
      <c r="V483" t="s">
        <v>416</v>
      </c>
    </row>
    <row r="484" spans="20:22" x14ac:dyDescent="0.3">
      <c r="T484" t="s">
        <v>1440</v>
      </c>
      <c r="U484" t="s">
        <v>938</v>
      </c>
      <c r="V484" t="s">
        <v>661</v>
      </c>
    </row>
    <row r="485" spans="20:22" x14ac:dyDescent="0.3">
      <c r="T485" t="s">
        <v>1441</v>
      </c>
      <c r="U485" t="s">
        <v>939</v>
      </c>
      <c r="V485" t="s">
        <v>439</v>
      </c>
    </row>
    <row r="486" spans="20:22" x14ac:dyDescent="0.3">
      <c r="T486" t="s">
        <v>1442</v>
      </c>
      <c r="U486" t="s">
        <v>940</v>
      </c>
      <c r="V486" t="s">
        <v>551</v>
      </c>
    </row>
    <row r="487" spans="20:22" x14ac:dyDescent="0.3">
      <c r="T487" t="s">
        <v>1443</v>
      </c>
      <c r="U487" t="s">
        <v>941</v>
      </c>
      <c r="V487" t="s">
        <v>419</v>
      </c>
    </row>
    <row r="488" spans="20:22" x14ac:dyDescent="0.3">
      <c r="T488" t="s">
        <v>1444</v>
      </c>
      <c r="U488" t="s">
        <v>942</v>
      </c>
      <c r="V488" t="s">
        <v>581</v>
      </c>
    </row>
    <row r="489" spans="20:22" x14ac:dyDescent="0.3">
      <c r="T489" t="s">
        <v>1445</v>
      </c>
      <c r="U489" t="s">
        <v>943</v>
      </c>
      <c r="V489" t="s">
        <v>411</v>
      </c>
    </row>
    <row r="490" spans="20:22" x14ac:dyDescent="0.3">
      <c r="T490" t="s">
        <v>1446</v>
      </c>
      <c r="U490" t="s">
        <v>944</v>
      </c>
      <c r="V490" t="s">
        <v>411</v>
      </c>
    </row>
    <row r="491" spans="20:22" x14ac:dyDescent="0.3">
      <c r="T491" t="s">
        <v>1447</v>
      </c>
      <c r="U491" t="s">
        <v>945</v>
      </c>
      <c r="V491" t="s">
        <v>411</v>
      </c>
    </row>
    <row r="492" spans="20:22" x14ac:dyDescent="0.3">
      <c r="T492" t="s">
        <v>1448</v>
      </c>
      <c r="U492" t="s">
        <v>946</v>
      </c>
      <c r="V492" t="s">
        <v>411</v>
      </c>
    </row>
    <row r="493" spans="20:22" x14ac:dyDescent="0.3">
      <c r="T493" t="s">
        <v>1449</v>
      </c>
      <c r="U493" t="s">
        <v>947</v>
      </c>
      <c r="V493" t="s">
        <v>243</v>
      </c>
    </row>
    <row r="494" spans="20:22" x14ac:dyDescent="0.3">
      <c r="T494" t="s">
        <v>1450</v>
      </c>
      <c r="U494" t="s">
        <v>948</v>
      </c>
      <c r="V494" t="s">
        <v>722</v>
      </c>
    </row>
    <row r="495" spans="20:22" x14ac:dyDescent="0.3">
      <c r="T495" t="s">
        <v>1451</v>
      </c>
      <c r="U495" t="s">
        <v>949</v>
      </c>
      <c r="V495" t="s">
        <v>592</v>
      </c>
    </row>
    <row r="496" spans="20:22" x14ac:dyDescent="0.3">
      <c r="T496" t="s">
        <v>1452</v>
      </c>
      <c r="U496" t="s">
        <v>950</v>
      </c>
      <c r="V496" t="s">
        <v>539</v>
      </c>
    </row>
    <row r="497" spans="20:22" x14ac:dyDescent="0.3">
      <c r="T497" t="s">
        <v>1453</v>
      </c>
      <c r="U497" t="s">
        <v>951</v>
      </c>
      <c r="V497" t="s">
        <v>661</v>
      </c>
    </row>
    <row r="498" spans="20:22" x14ac:dyDescent="0.3">
      <c r="T498" t="s">
        <v>1454</v>
      </c>
      <c r="U498" t="s">
        <v>952</v>
      </c>
      <c r="V498" t="s">
        <v>439</v>
      </c>
    </row>
    <row r="499" spans="20:22" x14ac:dyDescent="0.3">
      <c r="T499" t="s">
        <v>1455</v>
      </c>
      <c r="U499" t="s">
        <v>953</v>
      </c>
      <c r="V499" t="s">
        <v>672</v>
      </c>
    </row>
    <row r="500" spans="20:22" x14ac:dyDescent="0.3">
      <c r="T500" t="s">
        <v>1354</v>
      </c>
      <c r="U500" t="s">
        <v>853</v>
      </c>
      <c r="V500" t="s">
        <v>411</v>
      </c>
    </row>
    <row r="501" spans="20:22" x14ac:dyDescent="0.3">
      <c r="T501" t="s">
        <v>1456</v>
      </c>
      <c r="U501" t="s">
        <v>954</v>
      </c>
      <c r="V501" t="s">
        <v>722</v>
      </c>
    </row>
    <row r="502" spans="20:22" x14ac:dyDescent="0.3">
      <c r="T502" t="s">
        <v>1457</v>
      </c>
      <c r="U502" t="s">
        <v>955</v>
      </c>
      <c r="V502" t="s">
        <v>581</v>
      </c>
    </row>
    <row r="503" spans="20:22" x14ac:dyDescent="0.3">
      <c r="T503" t="s">
        <v>1458</v>
      </c>
      <c r="U503" t="s">
        <v>956</v>
      </c>
      <c r="V503" t="s">
        <v>528</v>
      </c>
    </row>
    <row r="504" spans="20:22" x14ac:dyDescent="0.3">
      <c r="T504" t="s">
        <v>1459</v>
      </c>
      <c r="U504" t="s">
        <v>957</v>
      </c>
      <c r="V504" t="s">
        <v>413</v>
      </c>
    </row>
    <row r="505" spans="20:22" x14ac:dyDescent="0.3">
      <c r="T505" t="s">
        <v>1460</v>
      </c>
      <c r="U505" t="s">
        <v>958</v>
      </c>
      <c r="V505" t="s">
        <v>698</v>
      </c>
    </row>
    <row r="506" spans="20:22" x14ac:dyDescent="0.3">
      <c r="T506" t="s">
        <v>1461</v>
      </c>
      <c r="U506" t="s">
        <v>959</v>
      </c>
      <c r="V506" t="s">
        <v>416</v>
      </c>
    </row>
    <row r="507" spans="20:22" x14ac:dyDescent="0.3">
      <c r="T507" t="s">
        <v>1462</v>
      </c>
      <c r="U507" t="s">
        <v>960</v>
      </c>
      <c r="V507" t="s">
        <v>535</v>
      </c>
    </row>
    <row r="508" spans="20:22" x14ac:dyDescent="0.3">
      <c r="T508" t="s">
        <v>1463</v>
      </c>
      <c r="U508" t="s">
        <v>961</v>
      </c>
      <c r="V508" t="s">
        <v>698</v>
      </c>
    </row>
    <row r="509" spans="20:22" x14ac:dyDescent="0.3">
      <c r="T509" t="s">
        <v>1464</v>
      </c>
      <c r="U509" t="s">
        <v>961</v>
      </c>
      <c r="V509" t="s">
        <v>411</v>
      </c>
    </row>
    <row r="510" spans="20:22" x14ac:dyDescent="0.3">
      <c r="T510" t="s">
        <v>1465</v>
      </c>
      <c r="U510" t="s">
        <v>962</v>
      </c>
      <c r="V510" t="s">
        <v>419</v>
      </c>
    </row>
  </sheetData>
  <autoFilter ref="H4:I224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970B51CBCDD54FA2A20CC0D8DC15F4" ma:contentTypeVersion="0" ma:contentTypeDescription="Crée un document." ma:contentTypeScope="" ma:versionID="18ed5d1a07e8a5517bc04f46c563c83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b09c1ba23edfaa45a5e9d385267c9b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1B22A55-FC45-4C0E-B349-6BAEA0DB91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30E5845-9CF6-4B8F-AF54-527340971268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9551592-A686-46F8-9AEA-DA276251CC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NDF_VIERGE</vt:lpstr>
      <vt:lpstr>REF ANALYTIQUE</vt:lpstr>
      <vt:lpstr>NDF_VIERGE!Zone_d_impression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starry</dc:creator>
  <cp:lastModifiedBy>Pierre GIRAUD</cp:lastModifiedBy>
  <cp:lastPrinted>2026-04-21T09:42:35Z</cp:lastPrinted>
  <dcterms:created xsi:type="dcterms:W3CDTF">2014-11-07T14:04:42Z</dcterms:created>
  <dcterms:modified xsi:type="dcterms:W3CDTF">2026-05-11T09:10:28Z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0x010100F4970B51CBCDD54FA2A20CC0D8DC15F4</vt:lpwstr>
  </property>
</Properties>
</file>